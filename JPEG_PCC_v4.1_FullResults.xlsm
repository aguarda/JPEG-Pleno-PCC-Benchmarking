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ag-n-\OneDrive\Ambiente de Trabalho\"/>
    </mc:Choice>
  </mc:AlternateContent>
  <xr:revisionPtr revIDLastSave="0" documentId="13_ncr:1_{A5F3A7F6-BF52-4C7E-9E4C-3AE21A133901}" xr6:coauthVersionLast="47" xr6:coauthVersionMax="47" xr10:uidLastSave="{00000000-0000-0000-0000-000000000000}"/>
  <bookViews>
    <workbookView xWindow="-110" yWindow="-110" windowWidth="25180" windowHeight="16140" tabRatio="732" xr2:uid="{C34E71CF-8811-4837-8E56-3C7014900157}"/>
  </bookViews>
  <sheets>
    <sheet name="Dataset" sheetId="67" r:id="rId1"/>
    <sheet name="Config" sheetId="68" r:id="rId2"/>
    <sheet name="Geometry" sheetId="75" r:id="rId3"/>
    <sheet name="GeometryColor" sheetId="70" r:id="rId4"/>
  </sheets>
  <functionGroups builtInGroupCount="19"/>
  <definedNames>
    <definedName name="Arco_Valentino_Dense_vox12" localSheetId="2">Geometry!$AC$2:$AE$38</definedName>
    <definedName name="Arco_Valentino_Dense_vox12" localSheetId="3">GeometryColor!$BD$2:$BI$22</definedName>
    <definedName name="AvgDense" localSheetId="2">Geometry!$AO$2:$AQ$38</definedName>
    <definedName name="AvgDense" localSheetId="3">GeometryColor!$CB$2:$CG$22</definedName>
    <definedName name="AvgSolid" localSheetId="2">Geometry!$AL$2:$AN$38</definedName>
    <definedName name="AvgSolid" localSheetId="3">GeometryColor!$BV$2:$CA$22</definedName>
    <definedName name="AvgSparse" localSheetId="2">Geometry!$AR$2:$AT$38</definedName>
    <definedName name="AvgSparse" localSheetId="3">GeometryColor!$CH$2:$CM$22</definedName>
    <definedName name="Bouquet" localSheetId="2">Geometry!$E$2:$G$38</definedName>
    <definedName name="Bouquet" localSheetId="3">GeometryColor!$H$2:$M$22</definedName>
    <definedName name="boxer_viewdep_vox12" localSheetId="2">Geometry!$N$2:$P$38</definedName>
    <definedName name="boxer_viewdep_vox12" localSheetId="3">GeometryColor!$Z$2:$AE$22</definedName>
    <definedName name="CITIUSP_vox13" localSheetId="2">Geometry!$T$2:$V$38</definedName>
    <definedName name="CITIUSP_vox13" localSheetId="3">GeometryColor!$AL$2:$AQ$22</definedName>
    <definedName name="EPFL_vox13" localSheetId="2">Geometry!$Z$2:$AB$38</definedName>
    <definedName name="EPFL_vox13" localSheetId="3">GeometryColor!$AX$2:$BC$22</definedName>
    <definedName name="Facade_00009_vox12" localSheetId="2">Geometry!$W$2:$Y$38</definedName>
    <definedName name="Facade_00009_vox12" localSheetId="3">GeometryColor!$AR$2:$AW$22</definedName>
    <definedName name="House_without_roof_00057_vox12" localSheetId="2">Geometry!$Q$2:$S$38</definedName>
    <definedName name="House_without_roof_00057_vox12" localSheetId="3">GeometryColor!$AF$2:$AK$22</definedName>
    <definedName name="PCQM" localSheetId="3">GeometryColor!$G$44:$G$64</definedName>
    <definedName name="PSNR_D1" localSheetId="2">Geometry!$C$58:$C$94</definedName>
    <definedName name="PSNR_D1" localSheetId="3">GeometryColor!$C$44:$C$64</definedName>
    <definedName name="PSNR_D2" localSheetId="2">Geometry!$D$58:$D$94</definedName>
    <definedName name="PSNR_D2" localSheetId="3">GeometryColor!$D$44:$D$64</definedName>
    <definedName name="PSNR_Y" localSheetId="3">GeometryColor!$E$44:$E$64</definedName>
    <definedName name="PSNR_YUV" localSheetId="3">GeometryColor!$F$44:$F$64</definedName>
    <definedName name="Shiva_00035_vox12" localSheetId="2">Geometry!$AF$2:$AH$38</definedName>
    <definedName name="Shiva_00035_vox12" localSheetId="3">GeometryColor!$BJ$2:$BO$22</definedName>
    <definedName name="soldier_vox10_0690" localSheetId="2">Geometry!$H$2:$J$38</definedName>
    <definedName name="soldier_vox10_0690" localSheetId="3">GeometryColor!$N$2:$S$22</definedName>
    <definedName name="StMichael" localSheetId="2">Geometry!$B$2:$D$38</definedName>
    <definedName name="StMichael" localSheetId="3">GeometryColor!$B$2:$G$22</definedName>
    <definedName name="Thaidancer_viewdep_vox12" localSheetId="2">Geometry!$K$2:$M$38</definedName>
    <definedName name="Thaidancer_viewdep_vox12" localSheetId="3">GeometryColor!$T$2:$Y$22</definedName>
    <definedName name="ULB_Unicorn_vox13_n" localSheetId="2">Geometry!$AI$2:$AK$38</definedName>
    <definedName name="ULB_Unicorn_vox13_n" localSheetId="3">GeometryColor!$BP$2:$BU$22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3" i="75" l="1"/>
  <c r="AS62" i="75" s="1"/>
  <c r="AT36" i="75"/>
  <c r="AS36" i="75"/>
  <c r="AR36" i="75"/>
  <c r="AQ36" i="75"/>
  <c r="AP36" i="75"/>
  <c r="AO36" i="75"/>
  <c r="AN36" i="75"/>
  <c r="AM36" i="75"/>
  <c r="AL36" i="75"/>
  <c r="P88" i="75" a="1"/>
  <c r="AD54" i="75" a="1"/>
  <c r="AA54" i="75" a="1"/>
  <c r="X53" i="75" a="1"/>
  <c r="O53" i="75" a="1"/>
  <c r="I53" i="75" a="1"/>
  <c r="C53" i="75" a="1"/>
  <c r="S53" i="75" a="1"/>
  <c r="G53" i="75" a="1"/>
  <c r="AB54" i="75" a="1"/>
  <c r="D54" i="75" a="1"/>
  <c r="R54" i="75" a="1"/>
  <c r="C54" i="75" a="1"/>
  <c r="AK54" i="75" a="1"/>
  <c r="AJ53" i="75" a="1"/>
  <c r="S54" i="75" a="1"/>
  <c r="P54" i="75" a="1"/>
  <c r="M54" i="75" a="1"/>
  <c r="G54" i="75" a="1"/>
  <c r="AK53" i="75" a="1"/>
  <c r="V53" i="75" a="1"/>
  <c r="AG54" i="75" a="1"/>
  <c r="J54" i="75" a="1"/>
  <c r="U53" i="75" a="1"/>
  <c r="AE54" i="75" a="1"/>
  <c r="AD53" i="75" a="1"/>
  <c r="Y53" i="75" a="1"/>
  <c r="V54" i="75" a="1"/>
  <c r="L54" i="75" a="1"/>
  <c r="F54" i="75" a="1"/>
  <c r="AG53" i="75" a="1"/>
  <c r="M53" i="75" a="1"/>
  <c r="R53" i="75" a="1"/>
  <c r="AJ54" i="75" a="1"/>
  <c r="AE53" i="75" a="1"/>
  <c r="AH54" i="75" a="1"/>
  <c r="Y54" i="75" a="1"/>
  <c r="P53" i="75" a="1"/>
  <c r="L53" i="75" a="1"/>
  <c r="F53" i="75" a="1"/>
  <c r="AA47" i="75" a="1"/>
  <c r="U54" i="75" a="1"/>
  <c r="AB53" i="75" a="1"/>
  <c r="J53" i="75" a="1"/>
  <c r="AA53" i="75" a="1"/>
  <c r="AH53" i="75" a="1"/>
  <c r="X54" i="75" a="1"/>
  <c r="O54" i="75" a="1"/>
  <c r="I54" i="75" a="1"/>
  <c r="D53" i="75" a="1"/>
  <c r="P88" i="75" l="1"/>
  <c r="AA54" i="75"/>
  <c r="AT73" i="75" s="1"/>
  <c r="AB53" i="75"/>
  <c r="AU73" i="75" s="1"/>
  <c r="AH53" i="75"/>
  <c r="AU75" i="75" s="1"/>
  <c r="AB54" i="75"/>
  <c r="AV73" i="75" s="1"/>
  <c r="AH54" i="75"/>
  <c r="AV75" i="75" s="1"/>
  <c r="AG53" i="75"/>
  <c r="AS75" i="75" s="1"/>
  <c r="AD53" i="75"/>
  <c r="AS74" i="75" s="1"/>
  <c r="AJ53" i="75"/>
  <c r="AS76" i="75" s="1"/>
  <c r="AD54" i="75"/>
  <c r="AT74" i="75" s="1"/>
  <c r="AJ54" i="75"/>
  <c r="AT76" i="75" s="1"/>
  <c r="AA53" i="75"/>
  <c r="AS73" i="75" s="1"/>
  <c r="AG54" i="75"/>
  <c r="AT75" i="75" s="1"/>
  <c r="AE53" i="75"/>
  <c r="AU74" i="75" s="1"/>
  <c r="AK53" i="75"/>
  <c r="AU76" i="75" s="1"/>
  <c r="AE54" i="75"/>
  <c r="AV74" i="75" s="1"/>
  <c r="AK54" i="75"/>
  <c r="AV76" i="75" s="1"/>
  <c r="O53" i="75"/>
  <c r="AS69" i="75" s="1"/>
  <c r="U53" i="75"/>
  <c r="AS71" i="75" s="1"/>
  <c r="O54" i="75"/>
  <c r="AT69" i="75" s="1"/>
  <c r="U54" i="75"/>
  <c r="AT71" i="75" s="1"/>
  <c r="P53" i="75"/>
  <c r="AU69" i="75" s="1"/>
  <c r="V53" i="75"/>
  <c r="AU71" i="75" s="1"/>
  <c r="V54" i="75"/>
  <c r="AV71" i="75" s="1"/>
  <c r="P54" i="75"/>
  <c r="AV69" i="75" s="1"/>
  <c r="X53" i="75"/>
  <c r="AS72" i="75" s="1"/>
  <c r="R54" i="75"/>
  <c r="AT70" i="75" s="1"/>
  <c r="X54" i="75"/>
  <c r="AT72" i="75" s="1"/>
  <c r="R53" i="75"/>
  <c r="AS70" i="75" s="1"/>
  <c r="Y54" i="75"/>
  <c r="AV72" i="75" s="1"/>
  <c r="S53" i="75"/>
  <c r="AU70" i="75" s="1"/>
  <c r="Y53" i="75"/>
  <c r="AU72" i="75" s="1"/>
  <c r="S54" i="75"/>
  <c r="AV70" i="75" s="1"/>
  <c r="L53" i="75"/>
  <c r="AS68" i="75" s="1"/>
  <c r="M53" i="75"/>
  <c r="AU68" i="75" s="1"/>
  <c r="L54" i="75"/>
  <c r="AT68" i="75" s="1"/>
  <c r="M54" i="75"/>
  <c r="AV68" i="75" s="1"/>
  <c r="I53" i="75"/>
  <c r="AS67" i="75" s="1"/>
  <c r="J53" i="75"/>
  <c r="AU67" i="75" s="1"/>
  <c r="I54" i="75"/>
  <c r="AT67" i="75" s="1"/>
  <c r="J54" i="75"/>
  <c r="AV67" i="75" s="1"/>
  <c r="F53" i="75"/>
  <c r="AS66" i="75" s="1"/>
  <c r="G53" i="75"/>
  <c r="AU66" i="75" s="1"/>
  <c r="F54" i="75"/>
  <c r="AT66" i="75" s="1"/>
  <c r="G54" i="75"/>
  <c r="AV66" i="75" s="1"/>
  <c r="D54" i="75"/>
  <c r="AV65" i="75" s="1"/>
  <c r="D53" i="75"/>
  <c r="AU65" i="75" s="1"/>
  <c r="AU77" i="75" s="1"/>
  <c r="C54" i="75"/>
  <c r="AT65" i="75" s="1"/>
  <c r="AT77" i="75" s="1"/>
  <c r="C53" i="75"/>
  <c r="AS65" i="75" s="1"/>
  <c r="AA47" i="75"/>
  <c r="A51" i="75"/>
  <c r="AN62" i="75" s="1"/>
  <c r="A49" i="75"/>
  <c r="AJ62" i="75" s="1"/>
  <c r="A47" i="75"/>
  <c r="AF62" i="75" s="1"/>
  <c r="A45" i="75"/>
  <c r="AB62" i="75" s="1"/>
  <c r="A43" i="75"/>
  <c r="X62" i="75" s="1"/>
  <c r="AT26" i="75"/>
  <c r="AS26" i="75"/>
  <c r="AR26" i="75"/>
  <c r="AQ26" i="75"/>
  <c r="AP26" i="75"/>
  <c r="AO26" i="75"/>
  <c r="AN26" i="75"/>
  <c r="AM26" i="75"/>
  <c r="AL26" i="75"/>
  <c r="AT25" i="75"/>
  <c r="AS25" i="75"/>
  <c r="AR25" i="75"/>
  <c r="AQ25" i="75"/>
  <c r="AP25" i="75"/>
  <c r="AO25" i="75"/>
  <c r="AN25" i="75"/>
  <c r="AM25" i="75"/>
  <c r="AL25" i="75"/>
  <c r="AT24" i="75"/>
  <c r="AS24" i="75"/>
  <c r="AR24" i="75"/>
  <c r="AQ24" i="75"/>
  <c r="AP24" i="75"/>
  <c r="AO24" i="75"/>
  <c r="AN24" i="75"/>
  <c r="AM24" i="75"/>
  <c r="AL24" i="75"/>
  <c r="Z87" i="70"/>
  <c r="A36" i="70"/>
  <c r="AT10" i="75"/>
  <c r="AS10" i="75"/>
  <c r="AR10" i="75"/>
  <c r="AQ10" i="75"/>
  <c r="AP10" i="75"/>
  <c r="AO10" i="75"/>
  <c r="AN10" i="75"/>
  <c r="AM10" i="75"/>
  <c r="AL10" i="75"/>
  <c r="AT9" i="75"/>
  <c r="AS9" i="75"/>
  <c r="AR9" i="75"/>
  <c r="AQ9" i="75"/>
  <c r="AP9" i="75"/>
  <c r="AO9" i="75"/>
  <c r="AN9" i="75"/>
  <c r="AM9" i="75"/>
  <c r="AL9" i="75"/>
  <c r="AT8" i="75"/>
  <c r="AS8" i="75"/>
  <c r="AR8" i="75"/>
  <c r="AQ8" i="75"/>
  <c r="AP8" i="75"/>
  <c r="AO8" i="75"/>
  <c r="AN8" i="75"/>
  <c r="AM8" i="75"/>
  <c r="AL8" i="75"/>
  <c r="AT7" i="75"/>
  <c r="AS7" i="75"/>
  <c r="AR7" i="75"/>
  <c r="AQ7" i="75"/>
  <c r="AP7" i="75"/>
  <c r="AO7" i="75"/>
  <c r="AN7" i="75"/>
  <c r="AM7" i="75"/>
  <c r="AL7" i="75"/>
  <c r="A63" i="75"/>
  <c r="A33" i="70"/>
  <c r="AK66" i="70" s="1"/>
  <c r="A28" i="70"/>
  <c r="AK45" i="70" s="1"/>
  <c r="CM10" i="70"/>
  <c r="CL10" i="70"/>
  <c r="CK10" i="70"/>
  <c r="CJ10" i="70"/>
  <c r="CI10" i="70"/>
  <c r="CH10" i="70"/>
  <c r="CG10" i="70"/>
  <c r="CF10" i="70"/>
  <c r="CE10" i="70"/>
  <c r="CD10" i="70"/>
  <c r="CC10" i="70"/>
  <c r="CB10" i="70"/>
  <c r="CA10" i="70"/>
  <c r="BZ10" i="70"/>
  <c r="BY10" i="70"/>
  <c r="BX10" i="70"/>
  <c r="BW10" i="70"/>
  <c r="BV10" i="70"/>
  <c r="CM9" i="70"/>
  <c r="CL9" i="70"/>
  <c r="CK9" i="70"/>
  <c r="CJ9" i="70"/>
  <c r="CI9" i="70"/>
  <c r="CH9" i="70"/>
  <c r="CG9" i="70"/>
  <c r="CF9" i="70"/>
  <c r="CE9" i="70"/>
  <c r="CD9" i="70"/>
  <c r="CC9" i="70"/>
  <c r="CB9" i="70"/>
  <c r="CA9" i="70"/>
  <c r="BZ9" i="70"/>
  <c r="BY9" i="70"/>
  <c r="BX9" i="70"/>
  <c r="BW9" i="70"/>
  <c r="BV9" i="70"/>
  <c r="CM8" i="70"/>
  <c r="CL8" i="70"/>
  <c r="CK8" i="70"/>
  <c r="CJ8" i="70"/>
  <c r="CI8" i="70"/>
  <c r="CH8" i="70"/>
  <c r="CG8" i="70"/>
  <c r="CF8" i="70"/>
  <c r="CE8" i="70"/>
  <c r="CD8" i="70"/>
  <c r="CC8" i="70"/>
  <c r="CB8" i="70"/>
  <c r="CA8" i="70"/>
  <c r="BZ8" i="70"/>
  <c r="BY8" i="70"/>
  <c r="BX8" i="70"/>
  <c r="BW8" i="70"/>
  <c r="BV8" i="70"/>
  <c r="CM7" i="70"/>
  <c r="CL7" i="70"/>
  <c r="CK7" i="70"/>
  <c r="CJ7" i="70"/>
  <c r="CI7" i="70"/>
  <c r="CH7" i="70"/>
  <c r="CG7" i="70"/>
  <c r="CF7" i="70"/>
  <c r="CE7" i="70"/>
  <c r="CD7" i="70"/>
  <c r="CC7" i="70"/>
  <c r="CB7" i="70"/>
  <c r="CA7" i="70"/>
  <c r="BZ7" i="70"/>
  <c r="BY7" i="70"/>
  <c r="BX7" i="70"/>
  <c r="BW7" i="70"/>
  <c r="BV7" i="70"/>
  <c r="A59" i="70"/>
  <c r="A53" i="70"/>
  <c r="A49" i="70"/>
  <c r="A45" i="70"/>
  <c r="A26" i="70"/>
  <c r="Z45" i="70" s="1"/>
  <c r="A90" i="75"/>
  <c r="A86" i="75"/>
  <c r="A79" i="75"/>
  <c r="A73" i="75"/>
  <c r="A67" i="75"/>
  <c r="A59" i="75"/>
  <c r="AT38" i="75"/>
  <c r="AS38" i="75"/>
  <c r="AR38" i="75"/>
  <c r="AQ38" i="75"/>
  <c r="AP38" i="75"/>
  <c r="AO38" i="75"/>
  <c r="AN38" i="75"/>
  <c r="AM38" i="75"/>
  <c r="AL38" i="75"/>
  <c r="AT37" i="75"/>
  <c r="AS37" i="75"/>
  <c r="AR37" i="75"/>
  <c r="AQ37" i="75"/>
  <c r="AP37" i="75"/>
  <c r="AO37" i="75"/>
  <c r="AN37" i="75"/>
  <c r="AM37" i="75"/>
  <c r="AL37" i="75"/>
  <c r="AT35" i="75"/>
  <c r="AS35" i="75"/>
  <c r="AR35" i="75"/>
  <c r="AQ35" i="75"/>
  <c r="AP35" i="75"/>
  <c r="AO35" i="75"/>
  <c r="AN35" i="75"/>
  <c r="AM35" i="75"/>
  <c r="AL35" i="75"/>
  <c r="AT34" i="75"/>
  <c r="AS34" i="75"/>
  <c r="AR34" i="75"/>
  <c r="AQ34" i="75"/>
  <c r="AP34" i="75"/>
  <c r="AO34" i="75"/>
  <c r="AN34" i="75"/>
  <c r="AM34" i="75"/>
  <c r="AL34" i="75"/>
  <c r="AT33" i="75"/>
  <c r="AS33" i="75"/>
  <c r="AR33" i="75"/>
  <c r="AQ33" i="75"/>
  <c r="AP33" i="75"/>
  <c r="AO33" i="75"/>
  <c r="AN33" i="75"/>
  <c r="AM33" i="75"/>
  <c r="AL33" i="75"/>
  <c r="AT32" i="75"/>
  <c r="AS32" i="75"/>
  <c r="AR32" i="75"/>
  <c r="AQ32" i="75"/>
  <c r="AP32" i="75"/>
  <c r="AO32" i="75"/>
  <c r="AN32" i="75"/>
  <c r="AM32" i="75"/>
  <c r="AL32" i="75"/>
  <c r="AT31" i="75"/>
  <c r="AS31" i="75"/>
  <c r="AR31" i="75"/>
  <c r="AQ31" i="75"/>
  <c r="AP31" i="75"/>
  <c r="AO31" i="75"/>
  <c r="AN31" i="75"/>
  <c r="AM31" i="75"/>
  <c r="AL31" i="75"/>
  <c r="AT30" i="75"/>
  <c r="AS30" i="75"/>
  <c r="AR30" i="75"/>
  <c r="AQ30" i="75"/>
  <c r="AP30" i="75"/>
  <c r="AO30" i="75"/>
  <c r="AN30" i="75"/>
  <c r="AM30" i="75"/>
  <c r="AL30" i="75"/>
  <c r="AT29" i="75"/>
  <c r="AS29" i="75"/>
  <c r="AR29" i="75"/>
  <c r="AQ29" i="75"/>
  <c r="AP29" i="75"/>
  <c r="AO29" i="75"/>
  <c r="AN29" i="75"/>
  <c r="AM29" i="75"/>
  <c r="AL29" i="75"/>
  <c r="AT28" i="75"/>
  <c r="AS28" i="75"/>
  <c r="AR28" i="75"/>
  <c r="AQ28" i="75"/>
  <c r="AP28" i="75"/>
  <c r="AO28" i="75"/>
  <c r="AN28" i="75"/>
  <c r="AM28" i="75"/>
  <c r="AL28" i="75"/>
  <c r="AT27" i="75"/>
  <c r="AS27" i="75"/>
  <c r="AR27" i="75"/>
  <c r="AQ27" i="75"/>
  <c r="AP27" i="75"/>
  <c r="AO27" i="75"/>
  <c r="AN27" i="75"/>
  <c r="AM27" i="75"/>
  <c r="AL27" i="75"/>
  <c r="AT23" i="75"/>
  <c r="AS23" i="75"/>
  <c r="AR23" i="75"/>
  <c r="AQ23" i="75"/>
  <c r="AP23" i="75"/>
  <c r="AO23" i="75"/>
  <c r="AN23" i="75"/>
  <c r="AM23" i="75"/>
  <c r="AL23" i="75"/>
  <c r="AS77" i="75" l="1"/>
  <c r="AF73" i="75"/>
  <c r="A31" i="70"/>
  <c r="Z66" i="70" s="1"/>
  <c r="J91" i="75"/>
  <c r="I91" i="75"/>
  <c r="J90" i="75"/>
  <c r="I90" i="75"/>
  <c r="J89" i="75"/>
  <c r="I89" i="75"/>
  <c r="AT22" i="75"/>
  <c r="AS22" i="75"/>
  <c r="AR22" i="75"/>
  <c r="AQ22" i="75"/>
  <c r="AP22" i="75"/>
  <c r="AO22" i="75"/>
  <c r="AN22" i="75"/>
  <c r="AM22" i="75"/>
  <c r="AL22" i="75"/>
  <c r="AT21" i="75"/>
  <c r="AS21" i="75"/>
  <c r="AR21" i="75"/>
  <c r="AQ21" i="75"/>
  <c r="AP21" i="75"/>
  <c r="AO21" i="75"/>
  <c r="AN21" i="75"/>
  <c r="AM21" i="75"/>
  <c r="AL21" i="75"/>
  <c r="AT20" i="75"/>
  <c r="AS20" i="75"/>
  <c r="AR20" i="75"/>
  <c r="AQ20" i="75"/>
  <c r="AP20" i="75"/>
  <c r="AO20" i="75"/>
  <c r="AN20" i="75"/>
  <c r="AM20" i="75"/>
  <c r="AL20" i="75"/>
  <c r="AT19" i="75"/>
  <c r="AS19" i="75"/>
  <c r="AR19" i="75"/>
  <c r="AQ19" i="75"/>
  <c r="AP19" i="75"/>
  <c r="AO19" i="75"/>
  <c r="AN19" i="75"/>
  <c r="AM19" i="75"/>
  <c r="AL19" i="75"/>
  <c r="AT18" i="75"/>
  <c r="AS18" i="75"/>
  <c r="AR18" i="75"/>
  <c r="AQ18" i="75"/>
  <c r="AP18" i="75"/>
  <c r="AO18" i="75"/>
  <c r="AN18" i="75"/>
  <c r="AM18" i="75"/>
  <c r="AL18" i="75"/>
  <c r="AT17" i="75"/>
  <c r="AS17" i="75"/>
  <c r="AR17" i="75"/>
  <c r="AQ17" i="75"/>
  <c r="AP17" i="75"/>
  <c r="AO17" i="75"/>
  <c r="AN17" i="75"/>
  <c r="AM17" i="75"/>
  <c r="AL17" i="75"/>
  <c r="AT16" i="75"/>
  <c r="AS16" i="75"/>
  <c r="AR16" i="75"/>
  <c r="AQ16" i="75"/>
  <c r="AP16" i="75"/>
  <c r="AO16" i="75"/>
  <c r="AN16" i="75"/>
  <c r="AM16" i="75"/>
  <c r="AL16" i="75"/>
  <c r="AT15" i="75"/>
  <c r="AS15" i="75"/>
  <c r="AR15" i="75"/>
  <c r="AQ15" i="75"/>
  <c r="AP15" i="75"/>
  <c r="AO15" i="75"/>
  <c r="AN15" i="75"/>
  <c r="AM15" i="75"/>
  <c r="AL15" i="75"/>
  <c r="AT14" i="75"/>
  <c r="AS14" i="75"/>
  <c r="AR14" i="75"/>
  <c r="AQ14" i="75"/>
  <c r="AP14" i="75"/>
  <c r="AO14" i="75"/>
  <c r="AN14" i="75"/>
  <c r="AM14" i="75"/>
  <c r="AL14" i="75"/>
  <c r="AT13" i="75"/>
  <c r="AS13" i="75"/>
  <c r="AR13" i="75"/>
  <c r="AQ13" i="75"/>
  <c r="AP13" i="75"/>
  <c r="AO13" i="75"/>
  <c r="AN13" i="75"/>
  <c r="AM13" i="75"/>
  <c r="AL13" i="75"/>
  <c r="AT12" i="75"/>
  <c r="AS12" i="75"/>
  <c r="AR12" i="75"/>
  <c r="AQ12" i="75"/>
  <c r="AP12" i="75"/>
  <c r="AO12" i="75"/>
  <c r="AN12" i="75"/>
  <c r="AM12" i="75"/>
  <c r="AL12" i="75"/>
  <c r="AT11" i="75"/>
  <c r="AS11" i="75"/>
  <c r="AR11" i="75"/>
  <c r="AQ11" i="75"/>
  <c r="AP11" i="75"/>
  <c r="AO11" i="75"/>
  <c r="AN11" i="75"/>
  <c r="AM11" i="75"/>
  <c r="AL11" i="75"/>
  <c r="AT6" i="75"/>
  <c r="AS6" i="75"/>
  <c r="AR6" i="75"/>
  <c r="AQ6" i="75"/>
  <c r="AP6" i="75"/>
  <c r="AO6" i="75"/>
  <c r="AN6" i="75"/>
  <c r="AM6" i="75"/>
  <c r="AL6" i="75"/>
  <c r="AT5" i="75"/>
  <c r="AS5" i="75"/>
  <c r="AR5" i="75"/>
  <c r="AQ5" i="75"/>
  <c r="AP5" i="75"/>
  <c r="AO5" i="75"/>
  <c r="AN5" i="75"/>
  <c r="AM5" i="75"/>
  <c r="AL5" i="75"/>
  <c r="AT4" i="75"/>
  <c r="AS4" i="75"/>
  <c r="AR4" i="75"/>
  <c r="AQ4" i="75"/>
  <c r="AP4" i="75"/>
  <c r="AO4" i="75"/>
  <c r="AN4" i="75"/>
  <c r="AM4" i="75"/>
  <c r="AL4" i="75"/>
  <c r="AT3" i="75"/>
  <c r="AS3" i="75"/>
  <c r="AR3" i="75"/>
  <c r="AQ3" i="75"/>
  <c r="AP3" i="75"/>
  <c r="AO3" i="75"/>
  <c r="AN3" i="75"/>
  <c r="AM3" i="75"/>
  <c r="AL3" i="75"/>
  <c r="BQ36" i="70" a="1"/>
  <c r="BM32" i="70" a="1"/>
  <c r="AQ32" i="70" a="1"/>
  <c r="BE32" i="70" a="1"/>
  <c r="BC36" i="70" a="1"/>
  <c r="AE36" i="70" a="1"/>
  <c r="J34" i="70" a="1"/>
  <c r="BH36" i="70" a="1"/>
  <c r="AS32" i="70" a="1"/>
  <c r="Q33" i="70" a="1"/>
  <c r="BQ37" i="70" a="1"/>
  <c r="AJ31" i="70" a="1"/>
  <c r="AI34" i="70" a="1"/>
  <c r="D33" i="70" a="1"/>
  <c r="S31" i="70" a="1"/>
  <c r="G31" i="70" a="1"/>
  <c r="O28" i="70" a="1"/>
  <c r="AQ31" i="70" a="1"/>
  <c r="S33" i="70" a="1"/>
  <c r="AY34" i="70" a="1"/>
  <c r="BG37" i="70" a="1"/>
  <c r="BR31" i="70" a="1"/>
  <c r="AV34" i="70" a="1"/>
  <c r="Y28" i="70" a="1"/>
  <c r="BU34" i="70" a="1"/>
  <c r="BM37" i="70" a="1"/>
  <c r="BC28" i="70" a="1"/>
  <c r="BB34" i="70" a="1"/>
  <c r="BH33" i="70" a="1"/>
  <c r="O31" i="70" a="1"/>
  <c r="AD31" i="70" a="1"/>
  <c r="BK32" i="70" a="1"/>
  <c r="C29" i="70" a="1"/>
  <c r="BS28" i="70" a="1"/>
  <c r="BU37" i="70" a="1"/>
  <c r="AV37" i="70" a="1"/>
  <c r="X29" i="70" a="1"/>
  <c r="M28" i="70" a="1"/>
  <c r="BG33" i="70" a="1"/>
  <c r="X31" i="70" a="1"/>
  <c r="AZ36" i="70" a="1"/>
  <c r="R31" i="70" a="1"/>
  <c r="O32" i="70" a="1"/>
  <c r="BE28" i="70" a="1"/>
  <c r="BR34" i="70" a="1"/>
  <c r="E29" i="70" a="1"/>
  <c r="BL37" i="70" a="1"/>
  <c r="D34" i="70" a="1"/>
  <c r="BR32" i="70" a="1"/>
  <c r="AC32" i="70" a="1"/>
  <c r="BB37" i="70" a="1"/>
  <c r="S34" i="70" a="1"/>
  <c r="AS37" i="70" a="1"/>
  <c r="BK33" i="70" a="1"/>
  <c r="AK32" i="70" a="1"/>
  <c r="AK31" i="70" a="1"/>
  <c r="AT34" i="70" a="1"/>
  <c r="BL29" i="70" a="1"/>
  <c r="BG31" i="70" a="1"/>
  <c r="Q34" i="70" a="1"/>
  <c r="AO33" i="70" a="1"/>
  <c r="F51" i="75" a="1"/>
  <c r="AG47" i="75" a="1"/>
  <c r="P50" i="75" a="1"/>
  <c r="AG45" i="75" a="1"/>
  <c r="O44" i="75" a="1"/>
  <c r="U47" i="75" a="1"/>
  <c r="AB44" i="75" a="1"/>
  <c r="AG51" i="75" a="1"/>
  <c r="AA46" i="75" a="1"/>
  <c r="X51" i="75" a="1"/>
  <c r="C48" i="75" a="1"/>
  <c r="AD50" i="75" a="1"/>
  <c r="G48" i="75" a="1"/>
  <c r="X46" i="75" a="1"/>
  <c r="Y50" i="75" a="1"/>
  <c r="R49" i="75" a="1"/>
  <c r="G43" i="75" a="1"/>
  <c r="AH52" i="75" a="1"/>
  <c r="P47" i="75" a="1"/>
  <c r="AE48" i="75" a="1"/>
  <c r="AH37" i="70" a="1"/>
  <c r="AE28" i="70" a="1"/>
  <c r="AS31" i="70" a="1"/>
  <c r="AT37" i="70" a="1"/>
  <c r="Q37" i="70" a="1"/>
  <c r="AT29" i="70" a="1"/>
  <c r="AS33" i="70" a="1"/>
  <c r="Q29" i="70" a="1"/>
  <c r="U28" i="70" a="1"/>
  <c r="BT36" i="70" a="1"/>
  <c r="AK36" i="70" a="1"/>
  <c r="BB32" i="70" a="1"/>
  <c r="I34" i="70" a="1"/>
  <c r="G34" i="70" a="1"/>
  <c r="AT33" i="70" a="1"/>
  <c r="BE37" i="70" a="1"/>
  <c r="AN28" i="70" a="1"/>
  <c r="D29" i="70" a="1"/>
  <c r="BR36" i="70" a="1"/>
  <c r="AQ37" i="70" a="1"/>
  <c r="S37" i="70" a="1"/>
  <c r="BE34" i="70" a="1"/>
  <c r="W33" i="70" a="1"/>
  <c r="S32" i="70" a="1"/>
  <c r="BH37" i="70" a="1"/>
  <c r="Y37" i="70" a="1"/>
  <c r="P32" i="70" a="1"/>
  <c r="BB28" i="70" a="1"/>
  <c r="K29" i="70" a="1"/>
  <c r="AM34" i="70" a="1"/>
  <c r="BA37" i="70" a="1"/>
  <c r="AE31" i="70" a="1"/>
  <c r="F32" i="70" a="1"/>
  <c r="BN36" i="70" a="1"/>
  <c r="AI36" i="70" a="1"/>
  <c r="K37" i="70" a="1"/>
  <c r="AT32" i="70" a="1"/>
  <c r="AM31" i="70" a="1"/>
  <c r="AH29" i="70" a="1"/>
  <c r="BA36" i="70" a="1"/>
  <c r="O36" i="70" a="1"/>
  <c r="BA33" i="70" a="1"/>
  <c r="S29" i="70" a="1"/>
  <c r="BQ31" i="70" a="1"/>
  <c r="AH28" i="70" a="1"/>
  <c r="BL34" i="70" a="1"/>
  <c r="L33" i="70" a="1"/>
  <c r="AT28" i="70" a="1"/>
  <c r="AH34" i="70" a="1"/>
  <c r="BN32" i="70" a="1"/>
  <c r="AI31" i="70" a="1"/>
  <c r="G32" i="70" a="1"/>
  <c r="L31" i="70" a="1"/>
  <c r="J29" i="70" a="1"/>
  <c r="BC31" i="70" a="1"/>
  <c r="C28" i="70" a="1"/>
  <c r="C37" i="70" a="1"/>
  <c r="BC33" i="70" a="1"/>
  <c r="BH32" i="70" a="1"/>
  <c r="BT37" i="70" a="1"/>
  <c r="BG28" i="70" a="1"/>
  <c r="AB45" i="75" a="1"/>
  <c r="AD47" i="75" a="1"/>
  <c r="S49" i="75" a="1"/>
  <c r="I46" i="75" a="1"/>
  <c r="C52" i="75" a="1"/>
  <c r="AE51" i="75" a="1"/>
  <c r="AE47" i="75" a="1"/>
  <c r="P49" i="75" a="1"/>
  <c r="R47" i="75" a="1"/>
  <c r="J50" i="75" a="1"/>
  <c r="U51" i="75" a="1"/>
  <c r="AK46" i="75" a="1"/>
  <c r="G47" i="75" a="1"/>
  <c r="AG52" i="75" a="1"/>
  <c r="M49" i="75" a="1"/>
  <c r="C49" i="75" a="1"/>
  <c r="I47" i="75" a="1"/>
  <c r="L45" i="75" a="1"/>
  <c r="G49" i="75" a="1"/>
  <c r="S43" i="75" a="1"/>
  <c r="AH45" i="75" a="1"/>
  <c r="V52" i="75" a="1"/>
  <c r="G45" i="75" a="1"/>
  <c r="M45" i="75" a="1"/>
  <c r="X43" i="75" a="1"/>
  <c r="BU32" i="70" a="1"/>
  <c r="AN32" i="70" a="1"/>
  <c r="AZ31" i="70" a="1"/>
  <c r="F36" i="70" a="1"/>
  <c r="L34" i="70" a="1"/>
  <c r="AZ32" i="70" a="1"/>
  <c r="AJ36" i="70" a="1"/>
  <c r="AW36" i="70" a="1"/>
  <c r="BO36" i="70" a="1"/>
  <c r="AA37" i="70" a="1"/>
  <c r="BR28" i="70" a="1"/>
  <c r="BS33" i="70" a="1"/>
  <c r="R33" i="70" a="1"/>
  <c r="K31" i="70" a="1"/>
  <c r="AU28" i="70" a="1"/>
  <c r="U36" i="70" a="1"/>
  <c r="AG32" i="70" a="1"/>
  <c r="U31" i="70" a="1"/>
  <c r="AG36" i="70" a="1"/>
  <c r="E37" i="70" a="1"/>
  <c r="X34" i="70" a="1"/>
  <c r="AC31" i="70" a="1"/>
  <c r="BN34" i="70" a="1"/>
  <c r="BC37" i="70" a="1"/>
  <c r="W37" i="70" a="1"/>
  <c r="AM28" i="70" a="1"/>
  <c r="R32" i="70" a="1"/>
  <c r="BI32" i="70" a="1"/>
  <c r="Y34" i="70" a="1"/>
  <c r="J33" i="70" a="1"/>
  <c r="I37" i="70" a="1"/>
  <c r="AE29" i="70" a="1"/>
  <c r="AC33" i="70" a="1"/>
  <c r="U37" i="70" a="1"/>
  <c r="BH28" i="70" a="1"/>
  <c r="AD33" i="70" a="1"/>
  <c r="AC34" i="70" a="1"/>
  <c r="U34" i="70" a="1"/>
  <c r="AU36" i="70" a="1"/>
  <c r="L37" i="70" a="1"/>
  <c r="G29" i="70" a="1"/>
  <c r="BU31" i="70" a="1"/>
  <c r="AO31" i="70" a="1"/>
  <c r="AH31" i="70" a="1"/>
  <c r="BA31" i="70" a="1"/>
  <c r="O29" i="70" a="1"/>
  <c r="AO36" i="70" a="1"/>
  <c r="BU36" i="70" a="1"/>
  <c r="BG36" i="70" a="1"/>
  <c r="AP37" i="70" a="1"/>
  <c r="V36" i="70" a="1"/>
  <c r="AG37" i="70" a="1"/>
  <c r="P37" i="70" a="1"/>
  <c r="Q31" i="70" a="1"/>
  <c r="Q36" i="70" a="1"/>
  <c r="I32" i="70" a="1"/>
  <c r="BM31" i="70" a="1"/>
  <c r="I33" i="70" a="1"/>
  <c r="BC29" i="70" a="1"/>
  <c r="AO34" i="70" a="1"/>
  <c r="J49" i="75" a="1"/>
  <c r="X45" i="75" a="1"/>
  <c r="R44" i="75" a="1"/>
  <c r="AJ44" i="75" a="1"/>
  <c r="M50" i="75" a="1"/>
  <c r="G46" i="75" a="1"/>
  <c r="D51" i="75" a="1"/>
  <c r="AA52" i="75" a="1"/>
  <c r="J46" i="75" a="1"/>
  <c r="Y52" i="75" a="1"/>
  <c r="V49" i="75" a="1"/>
  <c r="M51" i="75" a="1"/>
  <c r="R50" i="75" a="1"/>
  <c r="I51" i="75" a="1"/>
  <c r="X49" i="75" a="1"/>
  <c r="AB51" i="75" a="1"/>
  <c r="O48" i="75" a="1"/>
  <c r="L47" i="75" a="1"/>
  <c r="O50" i="75" a="1"/>
  <c r="U45" i="75" a="1"/>
  <c r="I52" i="75" a="1"/>
  <c r="AJ50" i="75" a="1"/>
  <c r="Y43" i="75" a="1"/>
  <c r="O47" i="75" a="1"/>
  <c r="AB48" i="75" a="1"/>
  <c r="S50" i="75" a="1"/>
  <c r="AA50" i="75" a="1"/>
  <c r="D45" i="75" a="1"/>
  <c r="BO31" i="70" a="1"/>
  <c r="AA32" i="70" a="1"/>
  <c r="BT32" i="70" a="1"/>
  <c r="BH31" i="70" a="1"/>
  <c r="L32" i="70" a="1"/>
  <c r="U33" i="70" a="1"/>
  <c r="C31" i="70" a="1"/>
  <c r="W34" i="70" a="1"/>
  <c r="AB37" i="70" a="1"/>
  <c r="AY31" i="70" a="1"/>
  <c r="BS32" i="70" a="1"/>
  <c r="BR29" i="70" a="1"/>
  <c r="AY32" i="70" a="1"/>
  <c r="D37" i="70" a="1"/>
  <c r="AP28" i="70" a="1"/>
  <c r="AB29" i="70" a="1"/>
  <c r="E31" i="70" a="1"/>
  <c r="U32" i="70" a="1"/>
  <c r="BL32" i="70" a="1"/>
  <c r="BE29" i="70" a="1"/>
  <c r="Y33" i="70" a="1"/>
  <c r="BN31" i="70" a="1"/>
  <c r="Q32" i="70" a="1"/>
  <c r="R37" i="70" a="1"/>
  <c r="S28" i="70" a="1"/>
  <c r="AN29" i="70" a="1"/>
  <c r="AP32" i="70" a="1"/>
  <c r="BQ29" i="70" a="1"/>
  <c r="BI34" i="70" a="1"/>
  <c r="E32" i="70" a="1"/>
  <c r="AG33" i="70" a="1"/>
  <c r="BI29" i="70" a="1"/>
  <c r="BC34" i="70" a="1"/>
  <c r="AE33" i="70" a="1"/>
  <c r="BQ32" i="70" a="1"/>
  <c r="AI28" i="70" a="1"/>
  <c r="AQ34" i="70" a="1"/>
  <c r="AJ33" i="70" a="1"/>
  <c r="G37" i="70" a="1"/>
  <c r="BT29" i="70" a="1"/>
  <c r="D31" i="70" a="1"/>
  <c r="M29" i="70" a="1"/>
  <c r="AN34" i="70" a="1"/>
  <c r="C34" i="70" a="1"/>
  <c r="AZ33" i="70" a="1"/>
  <c r="BN28" i="70" a="1"/>
  <c r="BA34" i="70" a="1"/>
  <c r="AV31" i="70" a="1"/>
  <c r="AU31" i="70" a="1"/>
  <c r="BT34" i="70" a="1"/>
  <c r="E33" i="70" a="1"/>
  <c r="AS34" i="70" a="1"/>
  <c r="BO33" i="70" a="1"/>
  <c r="BI31" i="70" a="1"/>
  <c r="Y29" i="70" a="1"/>
  <c r="BT33" i="70" a="1"/>
  <c r="AG29" i="70" a="1"/>
  <c r="BI37" i="70" a="1"/>
  <c r="Y31" i="70" a="1"/>
  <c r="BB31" i="70" a="1"/>
  <c r="X50" i="75" a="1"/>
  <c r="J45" i="75" a="1"/>
  <c r="AK47" i="75" a="1"/>
  <c r="P45" i="75" a="1"/>
  <c r="V48" i="75" a="1"/>
  <c r="J44" i="75" a="1"/>
  <c r="AD49" i="75" a="1"/>
  <c r="D49" i="75" a="1"/>
  <c r="V44" i="75" a="1"/>
  <c r="O52" i="75" a="1"/>
  <c r="U46" i="75" a="1"/>
  <c r="L50" i="75" a="1"/>
  <c r="V47" i="75" a="1"/>
  <c r="S48" i="75" a="1"/>
  <c r="Y46" i="75" a="1"/>
  <c r="AJ52" i="75" a="1"/>
  <c r="J52" i="75" a="1"/>
  <c r="G52" i="75" a="1"/>
  <c r="AH50" i="75" a="1"/>
  <c r="S45" i="75" a="1"/>
  <c r="AA28" i="70" a="1"/>
  <c r="AU34" i="70" a="1"/>
  <c r="AP36" i="70" a="1"/>
  <c r="BK29" i="70" a="1"/>
  <c r="BF33" i="70" a="1"/>
  <c r="P28" i="70" a="1"/>
  <c r="AW33" i="70" a="1"/>
  <c r="X28" i="70" a="1"/>
  <c r="AS29" i="70" a="1"/>
  <c r="BK28" i="70" a="1"/>
  <c r="AP33" i="70" a="1"/>
  <c r="BG32" i="70" a="1"/>
  <c r="BM36" i="70" a="1"/>
  <c r="BF29" i="70" a="1"/>
  <c r="AK29" i="70" a="1"/>
  <c r="AD29" i="70" a="1"/>
  <c r="G33" i="70" a="1"/>
  <c r="BR37" i="70" a="1"/>
  <c r="BU29" i="70" a="1"/>
  <c r="BS34" i="70" a="1"/>
  <c r="AN31" i="70" a="1"/>
  <c r="AU29" i="70" a="1"/>
  <c r="BO29" i="70" a="1"/>
  <c r="L28" i="70" a="1"/>
  <c r="O34" i="70" a="1"/>
  <c r="F34" i="70" a="1"/>
  <c r="AB32" i="70" a="1"/>
  <c r="AY36" i="70" a="1"/>
  <c r="AB31" i="70" a="1"/>
  <c r="O33" i="70" a="1"/>
  <c r="J31" i="70" a="1"/>
  <c r="AH33" i="70" a="1"/>
  <c r="BI36" i="70" a="1"/>
  <c r="AA29" i="70" a="1"/>
  <c r="AP29" i="70" a="1"/>
  <c r="AJ34" i="70" a="1"/>
  <c r="E28" i="70" a="1"/>
  <c r="U29" i="70" a="1"/>
  <c r="D28" i="70" a="1"/>
  <c r="AA31" i="70" a="1"/>
  <c r="K28" i="70" a="1"/>
  <c r="BO37" i="70" a="1"/>
  <c r="AM37" i="70" a="1"/>
  <c r="F28" i="70" a="1"/>
  <c r="W28" i="70" a="1"/>
  <c r="BH29" i="70" a="1"/>
  <c r="BB36" i="70" a="1"/>
  <c r="BS29" i="70" a="1"/>
  <c r="AI37" i="70" a="1"/>
  <c r="BE31" i="70" a="1"/>
  <c r="AK28" i="70" a="1"/>
  <c r="AV33" i="70" a="1"/>
  <c r="BU33" i="70" a="1"/>
  <c r="D36" i="70" a="1"/>
  <c r="AC28" i="70" a="1"/>
  <c r="AD32" i="70" a="1"/>
  <c r="I36" i="70" a="1"/>
  <c r="BO34" i="70" a="1"/>
  <c r="BO32" i="70" a="1"/>
  <c r="AA33" i="70" a="1"/>
  <c r="M44" i="75" a="1"/>
  <c r="AK52" i="75" a="1"/>
  <c r="D43" i="75" a="1"/>
  <c r="AE44" i="75" a="1"/>
  <c r="F52" i="75" a="1"/>
  <c r="S51" i="75" a="1"/>
  <c r="L49" i="75" a="1"/>
  <c r="I44" i="75" a="1"/>
  <c r="AK44" i="75" a="1"/>
  <c r="D46" i="75" a="1"/>
  <c r="AD43" i="75" a="1"/>
  <c r="Y45" i="75" a="1"/>
  <c r="M43" i="75" a="1"/>
  <c r="U52" i="75" a="1"/>
  <c r="S47" i="75" a="1"/>
  <c r="Y44" i="75" a="1"/>
  <c r="O43" i="75" a="1"/>
  <c r="R52" i="75" a="1"/>
  <c r="F47" i="75" a="1"/>
  <c r="AE49" i="75" a="1"/>
  <c r="AG48" i="75" a="1"/>
  <c r="I50" i="75" a="1"/>
  <c r="BS37" i="70" a="1"/>
  <c r="AJ37" i="70" a="1"/>
  <c r="AI32" i="70" a="1"/>
  <c r="BF28" i="70" a="1"/>
  <c r="E34" i="70" a="1"/>
  <c r="AD34" i="70" a="1"/>
  <c r="G28" i="70" a="1"/>
  <c r="BN37" i="70" a="1"/>
  <c r="AU33" i="70" a="1"/>
  <c r="R34" i="70" a="1"/>
  <c r="AV28" i="70" a="1"/>
  <c r="AT36" i="70" a="1"/>
  <c r="X37" i="70" a="1"/>
  <c r="AK37" i="70" a="1"/>
  <c r="O37" i="70" a="1"/>
  <c r="F31" i="70" a="1"/>
  <c r="BK36" i="70" a="1"/>
  <c r="AB36" i="70" a="1"/>
  <c r="AD28" i="70" a="1"/>
  <c r="BK31" i="70" a="1"/>
  <c r="BL31" i="70" a="1"/>
  <c r="V32" i="70" a="1"/>
  <c r="BF37" i="70" a="1"/>
  <c r="V33" i="70" a="1"/>
  <c r="BI28" i="70" a="1"/>
  <c r="BS36" i="70" a="1"/>
  <c r="AN37" i="70" a="1"/>
  <c r="R36" i="70" a="1"/>
  <c r="AG28" i="70" a="1"/>
  <c r="V29" i="70" a="1"/>
  <c r="AW34" i="70" a="1"/>
  <c r="AY37" i="70" a="1"/>
  <c r="V37" i="70" a="1"/>
  <c r="K34" i="70" a="1"/>
  <c r="AP34" i="70" a="1"/>
  <c r="W29" i="70" a="1"/>
  <c r="BE33" i="70" a="1"/>
  <c r="AS36" i="70" a="1"/>
  <c r="BR33" i="70" a="1"/>
  <c r="AB34" i="70" a="1"/>
  <c r="BE36" i="70" a="1"/>
  <c r="AD37" i="70" a="1"/>
  <c r="E36" i="70" a="1"/>
  <c r="BC32" i="70" a="1"/>
  <c r="W31" i="70" a="1"/>
  <c r="AW37" i="70" a="1"/>
  <c r="BL36" i="70" a="1"/>
  <c r="BG29" i="70" a="1"/>
  <c r="AP31" i="70" a="1"/>
  <c r="AU37" i="70" a="1"/>
  <c r="BU28" i="70" a="1"/>
  <c r="AM36" i="70" a="1"/>
  <c r="AW28" i="70" a="1"/>
  <c r="AQ36" i="70" a="1"/>
  <c r="W32" i="70" a="1"/>
  <c r="M34" i="70" a="1"/>
  <c r="AE34" i="70" a="1"/>
  <c r="AE32" i="70" a="1"/>
  <c r="BS31" i="70" a="1"/>
  <c r="AM33" i="70" a="1"/>
  <c r="L51" i="75" a="1"/>
  <c r="V51" i="75" a="1"/>
  <c r="AJ51" i="75" a="1"/>
  <c r="V46" i="75" a="1"/>
  <c r="AG50" i="75" a="1"/>
  <c r="AE46" i="75" a="1"/>
  <c r="C50" i="75" a="1"/>
  <c r="AH47" i="75" a="1"/>
  <c r="AJ47" i="75" a="1"/>
  <c r="F49" i="75" a="1"/>
  <c r="AD48" i="75" a="1"/>
  <c r="AB50" i="75" a="1"/>
  <c r="L43" i="75" a="1"/>
  <c r="P51" i="75" a="1"/>
  <c r="S52" i="75" a="1"/>
  <c r="F46" i="75" a="1"/>
  <c r="M47" i="75" a="1"/>
  <c r="AK51" i="75" a="1"/>
  <c r="G50" i="75" a="1"/>
  <c r="AE37" i="70" a="1"/>
  <c r="BM28" i="70" a="1"/>
  <c r="F29" i="70" a="1"/>
  <c r="BQ33" i="70" a="1"/>
  <c r="P34" i="70" a="1"/>
  <c r="AN36" i="70" a="1"/>
  <c r="Y36" i="70" a="1"/>
  <c r="AC37" i="70" a="1"/>
  <c r="U26" i="70" a="1"/>
  <c r="AO32" i="70" a="1"/>
  <c r="AO37" i="70" a="1"/>
  <c r="J37" i="70" a="1"/>
  <c r="AQ29" i="70" a="1"/>
  <c r="L29" i="70" a="1"/>
  <c r="AV32" i="70" a="1"/>
  <c r="BF36" i="70" a="1"/>
  <c r="AC36" i="70" a="1"/>
  <c r="AZ34" i="70" a="1"/>
  <c r="AA34" i="70" a="1"/>
  <c r="BO28" i="70" a="1"/>
  <c r="AJ29" i="70" a="1"/>
  <c r="R29" i="70" a="1"/>
  <c r="P36" i="70" a="1"/>
  <c r="V34" i="70" a="1"/>
  <c r="F33" i="70" a="1"/>
  <c r="AD36" i="70" a="1"/>
  <c r="AG31" i="70" a="1"/>
  <c r="M33" i="70" a="1"/>
  <c r="BA32" i="70" a="1"/>
  <c r="AQ28" i="70" a="1"/>
  <c r="AZ37" i="70" a="1"/>
  <c r="S36" i="70" a="1"/>
  <c r="P29" i="70" a="1"/>
  <c r="J32" i="70" a="1"/>
  <c r="AV29" i="70" a="1"/>
  <c r="AW29" i="70" a="1"/>
  <c r="AM29" i="70" a="1"/>
  <c r="K36" i="70" a="1"/>
  <c r="BQ34" i="70" a="1"/>
  <c r="AY29" i="70" a="1"/>
  <c r="W36" i="70" a="1"/>
  <c r="AY33" i="70" a="1"/>
  <c r="AZ29" i="70" a="1"/>
  <c r="C32" i="70" a="1"/>
  <c r="I28" i="70" a="1"/>
  <c r="Q28" i="70" a="1"/>
  <c r="R28" i="70" a="1"/>
  <c r="BQ28" i="70" a="1"/>
  <c r="BT31" i="70" a="1"/>
  <c r="BM29" i="70" a="1"/>
  <c r="D32" i="70" a="1"/>
  <c r="BI33" i="70" a="1"/>
  <c r="U27" i="70" a="1"/>
  <c r="BF31" i="70" a="1"/>
  <c r="AI29" i="70" a="1"/>
  <c r="BG34" i="70" a="1"/>
  <c r="V31" i="70" a="1"/>
  <c r="J28" i="70" a="1"/>
  <c r="AW31" i="70" a="1"/>
  <c r="BT28" i="70" a="1"/>
  <c r="AE52" i="75" a="1"/>
  <c r="AK49" i="75" a="1"/>
  <c r="AJ48" i="75" a="1"/>
  <c r="AK48" i="75" a="1"/>
  <c r="AH46" i="75" a="1"/>
  <c r="AA44" i="75" a="1"/>
  <c r="M46" i="75" a="1"/>
  <c r="I49" i="75" a="1"/>
  <c r="AA49" i="75" a="1"/>
  <c r="Y51" i="75" a="1"/>
  <c r="P46" i="75" a="1"/>
  <c r="AA43" i="75" a="1"/>
  <c r="U49" i="75" a="1"/>
  <c r="J51" i="75" a="1"/>
  <c r="U44" i="75" a="1"/>
  <c r="AH43" i="75" a="1"/>
  <c r="AD45" i="75" a="1"/>
  <c r="X44" i="75" a="1"/>
  <c r="M48" i="75" a="1"/>
  <c r="BF32" i="70" a="1"/>
  <c r="BF34" i="70" a="1"/>
  <c r="BA28" i="70" a="1"/>
  <c r="AG34" i="70" a="1"/>
  <c r="BK37" i="70" a="1"/>
  <c r="K33" i="70" a="1"/>
  <c r="BM33" i="70" a="1"/>
  <c r="AS28" i="70" a="1"/>
  <c r="X33" i="70" a="1"/>
  <c r="AQ33" i="70" a="1"/>
  <c r="AJ32" i="70" a="1"/>
  <c r="AB33" i="70" a="1"/>
  <c r="AB28" i="70" a="1"/>
  <c r="BL33" i="70" a="1"/>
  <c r="L36" i="70" a="1"/>
  <c r="X36" i="70" a="1"/>
  <c r="AO28" i="70" a="1"/>
  <c r="AY28" i="70" a="1"/>
  <c r="AU32" i="70" a="1"/>
  <c r="AH32" i="70" a="1"/>
  <c r="AW32" i="70" a="1"/>
  <c r="AO29" i="70" a="1"/>
  <c r="Y32" i="70" a="1"/>
  <c r="AT31" i="70" a="1"/>
  <c r="C33" i="70" a="1"/>
  <c r="BB29" i="70" a="1"/>
  <c r="AI33" i="70" a="1"/>
  <c r="M32" i="70" a="1"/>
  <c r="AN33" i="70" a="1"/>
  <c r="AJ28" i="70" a="1"/>
  <c r="J36" i="70" a="1"/>
  <c r="M31" i="70" a="1"/>
  <c r="P33" i="70" a="1"/>
  <c r="V28" i="70" a="1"/>
  <c r="BB33" i="70" a="1"/>
  <c r="BK34" i="70" a="1"/>
  <c r="AC29" i="70" a="1"/>
  <c r="X32" i="70" a="1"/>
  <c r="AK33" i="70" a="1"/>
  <c r="BN33" i="70" a="1"/>
  <c r="P31" i="70" a="1"/>
  <c r="AZ28" i="70" a="1"/>
  <c r="BN29" i="70" a="1"/>
  <c r="AK34" i="70" a="1"/>
  <c r="K32" i="70" a="1"/>
  <c r="I31" i="70" a="1"/>
  <c r="M37" i="70" a="1"/>
  <c r="AV36" i="70" a="1"/>
  <c r="AA36" i="70" a="1"/>
  <c r="M36" i="70" a="1"/>
  <c r="AM32" i="70" a="1"/>
  <c r="F37" i="70" a="1"/>
  <c r="BL28" i="70" a="1"/>
  <c r="G36" i="70" a="1"/>
  <c r="BH34" i="70" a="1"/>
  <c r="AH36" i="70" a="1"/>
  <c r="I29" i="70" a="1"/>
  <c r="BA29" i="70" a="1"/>
  <c r="BM34" i="70" a="1"/>
  <c r="C36" i="70" a="1"/>
  <c r="S44" i="75" a="1"/>
  <c r="AJ46" i="75" a="1"/>
  <c r="P44" i="75" a="1"/>
  <c r="Y49" i="75" a="1"/>
  <c r="F43" i="75" a="1"/>
  <c r="J47" i="75" a="1"/>
  <c r="AJ45" i="75" a="1"/>
  <c r="O46" i="75" a="1"/>
  <c r="AK50" i="75" a="1"/>
  <c r="O51" i="75" a="1"/>
  <c r="D50" i="75" a="1"/>
  <c r="L44" i="75" a="1"/>
  <c r="D47" i="75" a="1"/>
  <c r="L52" i="75" a="1"/>
  <c r="X48" i="75" a="1"/>
  <c r="D48" i="75" a="1"/>
  <c r="AE43" i="75" a="1"/>
  <c r="AD51" i="75" a="1"/>
  <c r="G51" i="75" a="1"/>
  <c r="J48" i="75" a="1"/>
  <c r="L46" i="75" a="1"/>
  <c r="F50" i="75" a="1"/>
  <c r="R45" i="75" a="1"/>
  <c r="S46" i="75" a="1"/>
  <c r="AB46" i="75" a="1"/>
  <c r="AD44" i="75" a="1"/>
  <c r="U48" i="75" a="1"/>
  <c r="AK43" i="75" a="1"/>
  <c r="L48" i="75" a="1"/>
  <c r="AA51" i="75" a="1"/>
  <c r="U43" i="75" a="1"/>
  <c r="AG49" i="75" a="1"/>
  <c r="Y47" i="75" a="1"/>
  <c r="AE50" i="75" a="1"/>
  <c r="O45" i="75" a="1"/>
  <c r="X47" i="75" a="1"/>
  <c r="D44" i="75" a="1"/>
  <c r="C47" i="75" a="1"/>
  <c r="P48" i="75" a="1"/>
  <c r="AA48" i="75" a="1"/>
  <c r="AB49" i="75" a="1"/>
  <c r="V43" i="75" a="1"/>
  <c r="Y48" i="75" a="1"/>
  <c r="V50" i="75" a="1"/>
  <c r="I43" i="75" a="1"/>
  <c r="F45" i="75" a="1"/>
  <c r="C43" i="75" a="1"/>
  <c r="D52" i="75" a="1"/>
  <c r="AA45" i="75" a="1"/>
  <c r="M52" i="75" a="1"/>
  <c r="AG44" i="75" a="1"/>
  <c r="AD46" i="75" a="1"/>
  <c r="J43" i="75" a="1"/>
  <c r="I48" i="75" a="1"/>
  <c r="C45" i="75" a="1"/>
  <c r="AG46" i="75" a="1"/>
  <c r="AB47" i="75" a="1"/>
  <c r="R46" i="75" a="1"/>
  <c r="AB43" i="75" a="1"/>
  <c r="U50" i="75" a="1"/>
  <c r="X52" i="75" a="1"/>
  <c r="AE45" i="75" a="1"/>
  <c r="O49" i="75" a="1"/>
  <c r="R51" i="75" a="1"/>
  <c r="F44" i="75" a="1"/>
  <c r="C51" i="75" a="1"/>
  <c r="C44" i="75" a="1"/>
  <c r="AD52" i="75" a="1"/>
  <c r="V45" i="75" a="1"/>
  <c r="AJ43" i="75" a="1"/>
  <c r="AH48" i="75" a="1"/>
  <c r="P52" i="75" a="1"/>
  <c r="AH49" i="75" a="1"/>
  <c r="G44" i="75" a="1"/>
  <c r="AB52" i="75" a="1"/>
  <c r="C46" i="75" a="1"/>
  <c r="AG43" i="75" a="1"/>
  <c r="AH44" i="75" a="1"/>
  <c r="R48" i="75" a="1"/>
  <c r="I45" i="75" a="1"/>
  <c r="R43" i="75" a="1"/>
  <c r="F48" i="75" a="1"/>
  <c r="AJ49" i="75" a="1"/>
  <c r="AH51" i="75" a="1"/>
  <c r="AK45" i="75" a="1"/>
  <c r="P43" i="75" a="1"/>
  <c r="B58" i="75" a="1"/>
  <c r="P43" i="75" l="1"/>
  <c r="Z69" i="75" s="1"/>
  <c r="AK45" i="75"/>
  <c r="AD76" i="75" s="1"/>
  <c r="AH51" i="75"/>
  <c r="AP75" i="75" s="1"/>
  <c r="AJ49" i="75"/>
  <c r="AJ76" i="75" s="1"/>
  <c r="F48" i="75"/>
  <c r="AG66" i="75" s="1"/>
  <c r="R43" i="75"/>
  <c r="X70" i="75" s="1"/>
  <c r="I45" i="75"/>
  <c r="AB67" i="75" s="1"/>
  <c r="R48" i="75"/>
  <c r="AG70" i="75" s="1"/>
  <c r="AG78" i="75" s="1"/>
  <c r="AH44" i="75"/>
  <c r="AA75" i="75" s="1"/>
  <c r="AG43" i="75"/>
  <c r="X75" i="75" s="1"/>
  <c r="C46" i="75"/>
  <c r="AC65" i="75" s="1"/>
  <c r="AB52" i="75"/>
  <c r="AQ73" i="75" s="1"/>
  <c r="G44" i="75"/>
  <c r="AA66" i="75" s="1"/>
  <c r="AH49" i="75"/>
  <c r="AL75" i="75" s="1"/>
  <c r="P52" i="75"/>
  <c r="AQ69" i="75" s="1"/>
  <c r="AH48" i="75"/>
  <c r="AI75" i="75" s="1"/>
  <c r="AJ43" i="75"/>
  <c r="X76" i="75" s="1"/>
  <c r="V45" i="75"/>
  <c r="AD71" i="75" s="1"/>
  <c r="AD52" i="75"/>
  <c r="AO74" i="75" s="1"/>
  <c r="C44" i="75"/>
  <c r="Y65" i="75" s="1"/>
  <c r="C51" i="75"/>
  <c r="AN65" i="75" s="1"/>
  <c r="F44" i="75"/>
  <c r="Y66" i="75" s="1"/>
  <c r="R51" i="75"/>
  <c r="AN70" i="75" s="1"/>
  <c r="O49" i="75"/>
  <c r="AJ69" i="75" s="1"/>
  <c r="AJ78" i="75" s="1"/>
  <c r="AE45" i="75"/>
  <c r="AD74" i="75" s="1"/>
  <c r="X52" i="75"/>
  <c r="AO72" i="75" s="1"/>
  <c r="U50" i="75"/>
  <c r="AK71" i="75" s="1"/>
  <c r="AB43" i="75"/>
  <c r="Z73" i="75" s="1"/>
  <c r="R46" i="75"/>
  <c r="AC70" i="75" s="1"/>
  <c r="AB47" i="75"/>
  <c r="AH73" i="75" s="1"/>
  <c r="AG46" i="75"/>
  <c r="AC75" i="75" s="1"/>
  <c r="C45" i="75"/>
  <c r="AB65" i="75" s="1"/>
  <c r="AB77" i="75" s="1"/>
  <c r="I48" i="75"/>
  <c r="AG67" i="75" s="1"/>
  <c r="J43" i="75"/>
  <c r="Z67" i="75" s="1"/>
  <c r="AD46" i="75"/>
  <c r="AC74" i="75" s="1"/>
  <c r="AG44" i="75"/>
  <c r="Y75" i="75" s="1"/>
  <c r="M52" i="75"/>
  <c r="AQ68" i="75" s="1"/>
  <c r="AA45" i="75"/>
  <c r="AB73" i="75" s="1"/>
  <c r="D52" i="75"/>
  <c r="AQ65" i="75" s="1"/>
  <c r="C43" i="75"/>
  <c r="X65" i="75" s="1"/>
  <c r="F45" i="75"/>
  <c r="AB66" i="75" s="1"/>
  <c r="I43" i="75"/>
  <c r="X67" i="75" s="1"/>
  <c r="V50" i="75"/>
  <c r="AM71" i="75" s="1"/>
  <c r="Y48" i="75"/>
  <c r="AI72" i="75" s="1"/>
  <c r="V43" i="75"/>
  <c r="Z71" i="75" s="1"/>
  <c r="AB49" i="75"/>
  <c r="AL73" i="75" s="1"/>
  <c r="AA48" i="75"/>
  <c r="AG73" i="75" s="1"/>
  <c r="P48" i="75"/>
  <c r="AI69" i="75" s="1"/>
  <c r="AI78" i="75" s="1"/>
  <c r="C47" i="75"/>
  <c r="AF65" i="75" s="1"/>
  <c r="D44" i="75"/>
  <c r="AA65" i="75" s="1"/>
  <c r="X47" i="75"/>
  <c r="AF72" i="75" s="1"/>
  <c r="O45" i="75"/>
  <c r="AB69" i="75" s="1"/>
  <c r="AE50" i="75"/>
  <c r="AM74" i="75" s="1"/>
  <c r="Y47" i="75"/>
  <c r="AH72" i="75" s="1"/>
  <c r="AG49" i="75"/>
  <c r="AJ75" i="75" s="1"/>
  <c r="U43" i="75"/>
  <c r="X71" i="75" s="1"/>
  <c r="AA51" i="75"/>
  <c r="AN73" i="75" s="1"/>
  <c r="L48" i="75"/>
  <c r="AG68" i="75" s="1"/>
  <c r="AK43" i="75"/>
  <c r="Z76" i="75" s="1"/>
  <c r="U48" i="75"/>
  <c r="AG71" i="75" s="1"/>
  <c r="AD44" i="75"/>
  <c r="Y74" i="75" s="1"/>
  <c r="AB46" i="75"/>
  <c r="AE73" i="75" s="1"/>
  <c r="S46" i="75"/>
  <c r="AE70" i="75" s="1"/>
  <c r="R45" i="75"/>
  <c r="AB70" i="75" s="1"/>
  <c r="AB78" i="75" s="1"/>
  <c r="F50" i="75"/>
  <c r="AK66" i="75" s="1"/>
  <c r="L46" i="75"/>
  <c r="AC68" i="75" s="1"/>
  <c r="J48" i="75"/>
  <c r="AI67" i="75" s="1"/>
  <c r="G51" i="75"/>
  <c r="AP66" i="75" s="1"/>
  <c r="AD51" i="75"/>
  <c r="AN74" i="75" s="1"/>
  <c r="AE43" i="75"/>
  <c r="Z74" i="75" s="1"/>
  <c r="D48" i="75"/>
  <c r="AI65" i="75" s="1"/>
  <c r="X48" i="75"/>
  <c r="AG72" i="75" s="1"/>
  <c r="L52" i="75"/>
  <c r="AO68" i="75" s="1"/>
  <c r="D47" i="75"/>
  <c r="AH65" i="75" s="1"/>
  <c r="L44" i="75"/>
  <c r="Y68" i="75" s="1"/>
  <c r="D50" i="75"/>
  <c r="AM65" i="75" s="1"/>
  <c r="O51" i="75"/>
  <c r="AN69" i="75" s="1"/>
  <c r="AK50" i="75"/>
  <c r="AM76" i="75" s="1"/>
  <c r="O46" i="75"/>
  <c r="AC69" i="75" s="1"/>
  <c r="AJ45" i="75"/>
  <c r="AB76" i="75" s="1"/>
  <c r="AB79" i="75" s="1"/>
  <c r="J47" i="75"/>
  <c r="AH67" i="75" s="1"/>
  <c r="F43" i="75"/>
  <c r="X66" i="75" s="1"/>
  <c r="Y49" i="75"/>
  <c r="AL72" i="75" s="1"/>
  <c r="P44" i="75"/>
  <c r="AA69" i="75" s="1"/>
  <c r="AJ46" i="75"/>
  <c r="AC76" i="75" s="1"/>
  <c r="S44" i="75"/>
  <c r="AA70" i="75" s="1"/>
  <c r="C36" i="70"/>
  <c r="Z90" i="70" s="1"/>
  <c r="BM34" i="70"/>
  <c r="AP79" i="70" s="1"/>
  <c r="BA29" i="70"/>
  <c r="I29" i="70"/>
  <c r="AL49" i="70" s="1"/>
  <c r="AH36" i="70"/>
  <c r="AB95" i="70" s="1"/>
  <c r="BH34" i="70"/>
  <c r="AR78" i="70" s="1"/>
  <c r="G36" i="70"/>
  <c r="AH90" i="70" s="1"/>
  <c r="BL28" i="70"/>
  <c r="AM58" i="70" s="1"/>
  <c r="AM62" i="70" s="1"/>
  <c r="F37" i="70"/>
  <c r="AG90" i="70" s="1"/>
  <c r="AM32" i="70"/>
  <c r="AA75" i="70" s="1"/>
  <c r="M36" i="70"/>
  <c r="AH91" i="70" s="1"/>
  <c r="AA36" i="70"/>
  <c r="Z94" i="70" s="1"/>
  <c r="AV36" i="70"/>
  <c r="AF97" i="70" s="1"/>
  <c r="M37" i="70"/>
  <c r="AI91" i="70" s="1"/>
  <c r="I31" i="70"/>
  <c r="Z70" i="70" s="1"/>
  <c r="K32" i="70"/>
  <c r="AE70" i="70" s="1"/>
  <c r="AE81" i="70" s="1"/>
  <c r="AK34" i="70"/>
  <c r="AT74" i="70" s="1"/>
  <c r="BN29" i="70"/>
  <c r="AR58" i="70" s="1"/>
  <c r="AZ28" i="70"/>
  <c r="AM56" i="70" s="1"/>
  <c r="P31" i="70"/>
  <c r="AB71" i="70" s="1"/>
  <c r="BN33" i="70"/>
  <c r="AQ79" i="70" s="1"/>
  <c r="AK33" i="70"/>
  <c r="AS74" i="70" s="1"/>
  <c r="X32" i="70"/>
  <c r="AG72" i="70" s="1"/>
  <c r="AC29" i="70"/>
  <c r="AP52" i="70" s="1"/>
  <c r="AP61" i="70" s="1"/>
  <c r="BK34" i="70"/>
  <c r="AL79" i="70" s="1"/>
  <c r="BB33" i="70"/>
  <c r="AQ77" i="70" s="1"/>
  <c r="V28" i="70"/>
  <c r="AM51" i="70" s="1"/>
  <c r="P33" i="70"/>
  <c r="AM71" i="70" s="1"/>
  <c r="M31" i="70"/>
  <c r="AH70" i="70" s="1"/>
  <c r="J36" i="70"/>
  <c r="AB91" i="70" s="1"/>
  <c r="AJ28" i="70"/>
  <c r="AQ53" i="70" s="1"/>
  <c r="AN33" i="70"/>
  <c r="AM75" i="70" s="1"/>
  <c r="AM82" i="70" s="1"/>
  <c r="M32" i="70"/>
  <c r="AI70" i="70" s="1"/>
  <c r="AI33" i="70"/>
  <c r="AO74" i="70" s="1"/>
  <c r="BB29" i="70"/>
  <c r="AR56" i="70" s="1"/>
  <c r="C33" i="70"/>
  <c r="AK69" i="70" s="1"/>
  <c r="AT31" i="70"/>
  <c r="AB76" i="70" s="1"/>
  <c r="Y32" i="70"/>
  <c r="AI72" i="70" s="1"/>
  <c r="AO29" i="70"/>
  <c r="AP54" i="70" s="1"/>
  <c r="AW32" i="70"/>
  <c r="AI76" i="70" s="1"/>
  <c r="AH32" i="70"/>
  <c r="AC74" i="70" s="1"/>
  <c r="AU32" i="70"/>
  <c r="AE76" i="70" s="1"/>
  <c r="AY28" i="70"/>
  <c r="AK56" i="70" s="1"/>
  <c r="AO28" i="70"/>
  <c r="AO54" i="70" s="1"/>
  <c r="X36" i="70"/>
  <c r="AF93" i="70" s="1"/>
  <c r="L36" i="70"/>
  <c r="AF91" i="70" s="1"/>
  <c r="BL33" i="70"/>
  <c r="AM79" i="70" s="1"/>
  <c r="AB28" i="70"/>
  <c r="AM52" i="70" s="1"/>
  <c r="AM61" i="70" s="1"/>
  <c r="AB33" i="70"/>
  <c r="AM73" i="70" s="1"/>
  <c r="AJ32" i="70"/>
  <c r="AG74" i="70" s="1"/>
  <c r="AQ33" i="70"/>
  <c r="AS75" i="70" s="1"/>
  <c r="X33" i="70"/>
  <c r="AQ72" i="70" s="1"/>
  <c r="AS28" i="70"/>
  <c r="AK55" i="70" s="1"/>
  <c r="BM33" i="70"/>
  <c r="AO79" i="70" s="1"/>
  <c r="K33" i="70"/>
  <c r="AO70" i="70" s="1"/>
  <c r="BK37" i="70"/>
  <c r="AA100" i="70" s="1"/>
  <c r="AA104" i="70" s="1"/>
  <c r="AG34" i="70"/>
  <c r="AL74" i="70" s="1"/>
  <c r="BA28" i="70"/>
  <c r="AO56" i="70" s="1"/>
  <c r="BF34" i="70"/>
  <c r="AN78" i="70" s="1"/>
  <c r="BF32" i="70"/>
  <c r="AC78" i="70" s="1"/>
  <c r="M48" i="75"/>
  <c r="AI68" i="75" s="1"/>
  <c r="X44" i="75"/>
  <c r="Y72" i="75" s="1"/>
  <c r="AD45" i="75"/>
  <c r="AB74" i="75" s="1"/>
  <c r="AH43" i="75"/>
  <c r="Z75" i="75" s="1"/>
  <c r="U44" i="75"/>
  <c r="Y71" i="75" s="1"/>
  <c r="J51" i="75"/>
  <c r="AP67" i="75" s="1"/>
  <c r="U49" i="75"/>
  <c r="AJ71" i="75" s="1"/>
  <c r="AA43" i="75"/>
  <c r="X73" i="75" s="1"/>
  <c r="P46" i="75"/>
  <c r="AE69" i="75" s="1"/>
  <c r="Y51" i="75"/>
  <c r="AP72" i="75" s="1"/>
  <c r="AA49" i="75"/>
  <c r="AJ73" i="75" s="1"/>
  <c r="I49" i="75"/>
  <c r="AJ67" i="75" s="1"/>
  <c r="M46" i="75"/>
  <c r="AE68" i="75" s="1"/>
  <c r="AA44" i="75"/>
  <c r="Y73" i="75" s="1"/>
  <c r="AH46" i="75"/>
  <c r="AE75" i="75" s="1"/>
  <c r="AK48" i="75"/>
  <c r="AI76" i="75" s="1"/>
  <c r="AJ48" i="75"/>
  <c r="AG76" i="75" s="1"/>
  <c r="AK49" i="75"/>
  <c r="AL76" i="75" s="1"/>
  <c r="AE52" i="75"/>
  <c r="AQ74" i="75" s="1"/>
  <c r="BT28" i="70"/>
  <c r="AQ59" i="70" s="1"/>
  <c r="AW31" i="70"/>
  <c r="AH76" i="70" s="1"/>
  <c r="J28" i="70"/>
  <c r="AM49" i="70" s="1"/>
  <c r="V31" i="70"/>
  <c r="AB72" i="70" s="1"/>
  <c r="BG34" i="70"/>
  <c r="AP78" i="70" s="1"/>
  <c r="AI29" i="70"/>
  <c r="AP53" i="70" s="1"/>
  <c r="BF31" i="70"/>
  <c r="AB78" i="70" s="1"/>
  <c r="U27" i="70"/>
  <c r="BI33" i="70"/>
  <c r="AS78" i="70" s="1"/>
  <c r="D32" i="70"/>
  <c r="AC69" i="70" s="1"/>
  <c r="BM29" i="70"/>
  <c r="AP58" i="70" s="1"/>
  <c r="BT31" i="70"/>
  <c r="AF80" i="70" s="1"/>
  <c r="AF83" i="70" s="1"/>
  <c r="BQ28" i="70"/>
  <c r="AK59" i="70" s="1"/>
  <c r="R28" i="70"/>
  <c r="AQ50" i="70" s="1"/>
  <c r="Q28" i="70"/>
  <c r="AO50" i="70" s="1"/>
  <c r="I28" i="70"/>
  <c r="AK49" i="70" s="1"/>
  <c r="C32" i="70"/>
  <c r="AA69" i="70" s="1"/>
  <c r="AZ29" i="70"/>
  <c r="AN56" i="70" s="1"/>
  <c r="AY33" i="70"/>
  <c r="AK77" i="70" s="1"/>
  <c r="W36" i="70"/>
  <c r="AD93" i="70" s="1"/>
  <c r="AY29" i="70"/>
  <c r="AL56" i="70" s="1"/>
  <c r="BQ34" i="70"/>
  <c r="AL80" i="70" s="1"/>
  <c r="K36" i="70"/>
  <c r="AD91" i="70" s="1"/>
  <c r="AM29" i="70"/>
  <c r="AL54" i="70" s="1"/>
  <c r="AW29" i="70"/>
  <c r="AT55" i="70" s="1"/>
  <c r="AV29" i="70"/>
  <c r="AR55" i="70" s="1"/>
  <c r="J32" i="70"/>
  <c r="AC70" i="70" s="1"/>
  <c r="P29" i="70"/>
  <c r="AN50" i="70" s="1"/>
  <c r="AN60" i="70" s="1"/>
  <c r="S36" i="70"/>
  <c r="AH92" i="70" s="1"/>
  <c r="AZ37" i="70"/>
  <c r="AC98" i="70" s="1"/>
  <c r="AQ28" i="70"/>
  <c r="AS54" i="70" s="1"/>
  <c r="BA32" i="70"/>
  <c r="M33" i="70"/>
  <c r="AS70" i="70" s="1"/>
  <c r="AG31" i="70"/>
  <c r="Z74" i="70" s="1"/>
  <c r="AD36" i="70"/>
  <c r="AF94" i="70" s="1"/>
  <c r="F33" i="70"/>
  <c r="AQ69" i="70" s="1"/>
  <c r="AQ81" i="70" s="1"/>
  <c r="V34" i="70"/>
  <c r="AN72" i="70" s="1"/>
  <c r="P36" i="70"/>
  <c r="AB92" i="70" s="1"/>
  <c r="R29" i="70"/>
  <c r="AR50" i="70" s="1"/>
  <c r="AJ29" i="70"/>
  <c r="AR53" i="70" s="1"/>
  <c r="BO28" i="70"/>
  <c r="AS58" i="70" s="1"/>
  <c r="AA34" i="70"/>
  <c r="AL73" i="70" s="1"/>
  <c r="AZ34" i="70"/>
  <c r="AN77" i="70" s="1"/>
  <c r="AC36" i="70"/>
  <c r="AD94" i="70" s="1"/>
  <c r="BF36" i="70"/>
  <c r="AB99" i="70" s="1"/>
  <c r="AV32" i="70"/>
  <c r="AG76" i="70" s="1"/>
  <c r="L29" i="70"/>
  <c r="AR49" i="70" s="1"/>
  <c r="AQ29" i="70"/>
  <c r="AT54" i="70" s="1"/>
  <c r="J37" i="70"/>
  <c r="AC91" i="70" s="1"/>
  <c r="AO37" i="70"/>
  <c r="AE96" i="70" s="1"/>
  <c r="AO32" i="70"/>
  <c r="AE75" i="70" s="1"/>
  <c r="U26" i="70"/>
  <c r="Z51" i="70" s="1"/>
  <c r="AC37" i="70"/>
  <c r="AE94" i="70" s="1"/>
  <c r="Y36" i="70"/>
  <c r="AH93" i="70" s="1"/>
  <c r="AN36" i="70"/>
  <c r="AB96" i="70" s="1"/>
  <c r="P34" i="70"/>
  <c r="AN71" i="70" s="1"/>
  <c r="BQ33" i="70"/>
  <c r="AK80" i="70" s="1"/>
  <c r="F29" i="70"/>
  <c r="AR48" i="70" s="1"/>
  <c r="BM28" i="70"/>
  <c r="AO58" i="70" s="1"/>
  <c r="AE37" i="70"/>
  <c r="AI94" i="70" s="1"/>
  <c r="AI103" i="70" s="1"/>
  <c r="G50" i="75"/>
  <c r="AM66" i="75" s="1"/>
  <c r="AK51" i="75"/>
  <c r="AP76" i="75" s="1"/>
  <c r="M47" i="75"/>
  <c r="AH68" i="75" s="1"/>
  <c r="F46" i="75"/>
  <c r="AC66" i="75" s="1"/>
  <c r="S52" i="75"/>
  <c r="AQ70" i="75" s="1"/>
  <c r="P51" i="75"/>
  <c r="AP69" i="75" s="1"/>
  <c r="L43" i="75"/>
  <c r="X68" i="75" s="1"/>
  <c r="AB50" i="75"/>
  <c r="AM73" i="75" s="1"/>
  <c r="AD48" i="75"/>
  <c r="AG74" i="75" s="1"/>
  <c r="F49" i="75"/>
  <c r="AJ66" i="75" s="1"/>
  <c r="AJ47" i="75"/>
  <c r="AF76" i="75" s="1"/>
  <c r="AH47" i="75"/>
  <c r="AH75" i="75" s="1"/>
  <c r="C50" i="75"/>
  <c r="AK65" i="75" s="1"/>
  <c r="AE46" i="75"/>
  <c r="AE74" i="75" s="1"/>
  <c r="AG50" i="75"/>
  <c r="AK75" i="75" s="1"/>
  <c r="AK79" i="75" s="1"/>
  <c r="V46" i="75"/>
  <c r="AE71" i="75" s="1"/>
  <c r="AJ51" i="75"/>
  <c r="AN76" i="75" s="1"/>
  <c r="V51" i="75"/>
  <c r="AP71" i="75" s="1"/>
  <c r="L51" i="75"/>
  <c r="AN68" i="75" s="1"/>
  <c r="AM33" i="70"/>
  <c r="AK75" i="70" s="1"/>
  <c r="BS31" i="70"/>
  <c r="AD80" i="70" s="1"/>
  <c r="AE32" i="70"/>
  <c r="AI73" i="70" s="1"/>
  <c r="AE34" i="70"/>
  <c r="AT73" i="70" s="1"/>
  <c r="M34" i="70"/>
  <c r="AT70" i="70" s="1"/>
  <c r="W32" i="70"/>
  <c r="AE72" i="70" s="1"/>
  <c r="AQ36" i="70"/>
  <c r="AH96" i="70" s="1"/>
  <c r="AW28" i="70"/>
  <c r="AS55" i="70" s="1"/>
  <c r="AS61" i="70" s="1"/>
  <c r="AM36" i="70"/>
  <c r="Z96" i="70" s="1"/>
  <c r="BU28" i="70"/>
  <c r="AS59" i="70" s="1"/>
  <c r="AU37" i="70"/>
  <c r="AE97" i="70" s="1"/>
  <c r="AP31" i="70"/>
  <c r="AF75" i="70" s="1"/>
  <c r="BG29" i="70"/>
  <c r="AP57" i="70" s="1"/>
  <c r="BL36" i="70"/>
  <c r="AB100" i="70" s="1"/>
  <c r="AW37" i="70"/>
  <c r="AI97" i="70" s="1"/>
  <c r="W31" i="70"/>
  <c r="AD72" i="70" s="1"/>
  <c r="AD81" i="70" s="1"/>
  <c r="BC32" i="70"/>
  <c r="AI77" i="70" s="1"/>
  <c r="E36" i="70"/>
  <c r="AD90" i="70" s="1"/>
  <c r="AD37" i="70"/>
  <c r="AG94" i="70" s="1"/>
  <c r="BE36" i="70"/>
  <c r="Z99" i="70" s="1"/>
  <c r="AB34" i="70"/>
  <c r="AN73" i="70" s="1"/>
  <c r="BR33" i="70"/>
  <c r="AM80" i="70" s="1"/>
  <c r="AS36" i="70"/>
  <c r="Z97" i="70" s="1"/>
  <c r="BE33" i="70"/>
  <c r="AK78" i="70" s="1"/>
  <c r="W29" i="70"/>
  <c r="AP51" i="70" s="1"/>
  <c r="AP34" i="70"/>
  <c r="AR75" i="70" s="1"/>
  <c r="K34" i="70"/>
  <c r="AP70" i="70" s="1"/>
  <c r="V37" i="70"/>
  <c r="AC93" i="70" s="1"/>
  <c r="AY37" i="70"/>
  <c r="AA98" i="70" s="1"/>
  <c r="AW34" i="70"/>
  <c r="AT76" i="70" s="1"/>
  <c r="V29" i="70"/>
  <c r="AN51" i="70" s="1"/>
  <c r="AG28" i="70"/>
  <c r="AK53" i="70" s="1"/>
  <c r="R36" i="70"/>
  <c r="AF92" i="70" s="1"/>
  <c r="AN37" i="70"/>
  <c r="AC96" i="70" s="1"/>
  <c r="BS36" i="70"/>
  <c r="AD101" i="70" s="1"/>
  <c r="BI28" i="70"/>
  <c r="AS57" i="70" s="1"/>
  <c r="V33" i="70"/>
  <c r="AM72" i="70" s="1"/>
  <c r="BF37" i="70"/>
  <c r="AC99" i="70" s="1"/>
  <c r="V32" i="70"/>
  <c r="AC72" i="70" s="1"/>
  <c r="BL31" i="70"/>
  <c r="AB79" i="70" s="1"/>
  <c r="AB83" i="70" s="1"/>
  <c r="BK31" i="70"/>
  <c r="Z79" i="70" s="1"/>
  <c r="AD28" i="70"/>
  <c r="AQ52" i="70" s="1"/>
  <c r="AB36" i="70"/>
  <c r="AB94" i="70" s="1"/>
  <c r="BK36" i="70"/>
  <c r="Z100" i="70" s="1"/>
  <c r="F31" i="70"/>
  <c r="AF69" i="70" s="1"/>
  <c r="O37" i="70"/>
  <c r="AA92" i="70" s="1"/>
  <c r="AK37" i="70"/>
  <c r="AI95" i="70" s="1"/>
  <c r="X37" i="70"/>
  <c r="AG93" i="70" s="1"/>
  <c r="AT36" i="70"/>
  <c r="AB97" i="70" s="1"/>
  <c r="AV28" i="70"/>
  <c r="AQ55" i="70" s="1"/>
  <c r="R34" i="70"/>
  <c r="AR71" i="70" s="1"/>
  <c r="AU33" i="70"/>
  <c r="AO76" i="70" s="1"/>
  <c r="BN37" i="70"/>
  <c r="AG100" i="70" s="1"/>
  <c r="G28" i="70"/>
  <c r="AS48" i="70" s="1"/>
  <c r="AD34" i="70"/>
  <c r="AR73" i="70" s="1"/>
  <c r="E34" i="70"/>
  <c r="AP69" i="70" s="1"/>
  <c r="BF28" i="70"/>
  <c r="AM57" i="70" s="1"/>
  <c r="AI32" i="70"/>
  <c r="AE74" i="70" s="1"/>
  <c r="AJ37" i="70"/>
  <c r="AG95" i="70" s="1"/>
  <c r="BS37" i="70"/>
  <c r="I50" i="75"/>
  <c r="AK67" i="75" s="1"/>
  <c r="AG48" i="75"/>
  <c r="AG75" i="75" s="1"/>
  <c r="AE49" i="75"/>
  <c r="AL74" i="75" s="1"/>
  <c r="F47" i="75"/>
  <c r="AF66" i="75" s="1"/>
  <c r="R52" i="75"/>
  <c r="AO70" i="75" s="1"/>
  <c r="O43" i="75"/>
  <c r="X69" i="75" s="1"/>
  <c r="Y44" i="75"/>
  <c r="AA72" i="75" s="1"/>
  <c r="S47" i="75"/>
  <c r="AH70" i="75" s="1"/>
  <c r="AH78" i="75" s="1"/>
  <c r="U52" i="75"/>
  <c r="AO71" i="75" s="1"/>
  <c r="M43" i="75"/>
  <c r="Z68" i="75" s="1"/>
  <c r="Y45" i="75"/>
  <c r="AD72" i="75" s="1"/>
  <c r="AD43" i="75"/>
  <c r="X74" i="75" s="1"/>
  <c r="D46" i="75"/>
  <c r="AE65" i="75" s="1"/>
  <c r="AK44" i="75"/>
  <c r="AA76" i="75" s="1"/>
  <c r="I44" i="75"/>
  <c r="Y67" i="75" s="1"/>
  <c r="L49" i="75"/>
  <c r="AJ68" i="75" s="1"/>
  <c r="S51" i="75"/>
  <c r="AP70" i="75" s="1"/>
  <c r="F52" i="75"/>
  <c r="AO66" i="75" s="1"/>
  <c r="AE44" i="75"/>
  <c r="AA74" i="75" s="1"/>
  <c r="D43" i="75"/>
  <c r="Z65" i="75" s="1"/>
  <c r="AK52" i="75"/>
  <c r="AQ76" i="75" s="1"/>
  <c r="M44" i="75"/>
  <c r="AA68" i="75" s="1"/>
  <c r="AA33" i="70"/>
  <c r="AK73" i="70" s="1"/>
  <c r="BO32" i="70"/>
  <c r="AI79" i="70" s="1"/>
  <c r="BO34" i="70"/>
  <c r="AT79" i="70" s="1"/>
  <c r="I36" i="70"/>
  <c r="Z91" i="70" s="1"/>
  <c r="Z102" i="70" s="1"/>
  <c r="AD32" i="70"/>
  <c r="AG73" i="70" s="1"/>
  <c r="AC28" i="70"/>
  <c r="AO52" i="70" s="1"/>
  <c r="D36" i="70"/>
  <c r="AB90" i="70" s="1"/>
  <c r="BU33" i="70"/>
  <c r="AS80" i="70" s="1"/>
  <c r="AV33" i="70"/>
  <c r="AQ76" i="70" s="1"/>
  <c r="AK28" i="70"/>
  <c r="AS53" i="70" s="1"/>
  <c r="BE31" i="70"/>
  <c r="Z78" i="70" s="1"/>
  <c r="AI37" i="70"/>
  <c r="AE95" i="70" s="1"/>
  <c r="AE103" i="70" s="1"/>
  <c r="BS29" i="70"/>
  <c r="BB36" i="70"/>
  <c r="AF98" i="70" s="1"/>
  <c r="BH29" i="70"/>
  <c r="AR57" i="70" s="1"/>
  <c r="W28" i="70"/>
  <c r="AO51" i="70" s="1"/>
  <c r="F28" i="70"/>
  <c r="AQ48" i="70" s="1"/>
  <c r="AM37" i="70"/>
  <c r="AA96" i="70" s="1"/>
  <c r="BO37" i="70"/>
  <c r="AI100" i="70" s="1"/>
  <c r="K28" i="70"/>
  <c r="AO49" i="70" s="1"/>
  <c r="AA31" i="70"/>
  <c r="Z73" i="70" s="1"/>
  <c r="D28" i="70"/>
  <c r="AM48" i="70" s="1"/>
  <c r="U29" i="70"/>
  <c r="AL51" i="70" s="1"/>
  <c r="E28" i="70"/>
  <c r="AO48" i="70" s="1"/>
  <c r="AJ34" i="70"/>
  <c r="AR74" i="70" s="1"/>
  <c r="AP29" i="70"/>
  <c r="AR54" i="70" s="1"/>
  <c r="AA29" i="70"/>
  <c r="AL52" i="70" s="1"/>
  <c r="BI36" i="70"/>
  <c r="AH99" i="70" s="1"/>
  <c r="AH104" i="70" s="1"/>
  <c r="AH33" i="70"/>
  <c r="AM74" i="70" s="1"/>
  <c r="J31" i="70"/>
  <c r="AB70" i="70" s="1"/>
  <c r="O33" i="70"/>
  <c r="AK71" i="70" s="1"/>
  <c r="AB31" i="70"/>
  <c r="AB73" i="70" s="1"/>
  <c r="AY36" i="70"/>
  <c r="Z98" i="70" s="1"/>
  <c r="AB32" i="70"/>
  <c r="AC73" i="70" s="1"/>
  <c r="F34" i="70"/>
  <c r="AR69" i="70" s="1"/>
  <c r="O34" i="70"/>
  <c r="AL71" i="70" s="1"/>
  <c r="AL81" i="70" s="1"/>
  <c r="L28" i="70"/>
  <c r="AQ49" i="70" s="1"/>
  <c r="BO29" i="70"/>
  <c r="AT58" i="70" s="1"/>
  <c r="AU29" i="70"/>
  <c r="AP55" i="70" s="1"/>
  <c r="AN31" i="70"/>
  <c r="AB75" i="70" s="1"/>
  <c r="BS34" i="70"/>
  <c r="BU29" i="70"/>
  <c r="AT59" i="70" s="1"/>
  <c r="BR37" i="70"/>
  <c r="AC101" i="70" s="1"/>
  <c r="G33" i="70"/>
  <c r="AS69" i="70" s="1"/>
  <c r="AS81" i="70" s="1"/>
  <c r="AD29" i="70"/>
  <c r="AR52" i="70" s="1"/>
  <c r="AK29" i="70"/>
  <c r="AT53" i="70" s="1"/>
  <c r="BF29" i="70"/>
  <c r="AN57" i="70" s="1"/>
  <c r="BM36" i="70"/>
  <c r="AD100" i="70" s="1"/>
  <c r="BG32" i="70"/>
  <c r="AE78" i="70" s="1"/>
  <c r="AP33" i="70"/>
  <c r="AQ75" i="70" s="1"/>
  <c r="BK28" i="70"/>
  <c r="AK58" i="70" s="1"/>
  <c r="AS29" i="70"/>
  <c r="AL55" i="70" s="1"/>
  <c r="AL61" i="70" s="1"/>
  <c r="X28" i="70"/>
  <c r="AQ51" i="70" s="1"/>
  <c r="AW33" i="70"/>
  <c r="AS76" i="70" s="1"/>
  <c r="P28" i="70"/>
  <c r="AM50" i="70" s="1"/>
  <c r="BF33" i="70"/>
  <c r="AM78" i="70" s="1"/>
  <c r="BK29" i="70"/>
  <c r="AL58" i="70" s="1"/>
  <c r="AP36" i="70"/>
  <c r="AF96" i="70" s="1"/>
  <c r="AU34" i="70"/>
  <c r="AP76" i="70" s="1"/>
  <c r="AA28" i="70"/>
  <c r="AK52" i="70" s="1"/>
  <c r="AK61" i="70" s="1"/>
  <c r="S45" i="75"/>
  <c r="AD70" i="75" s="1"/>
  <c r="AH50" i="75"/>
  <c r="AM75" i="75" s="1"/>
  <c r="G52" i="75"/>
  <c r="AQ66" i="75" s="1"/>
  <c r="AQ77" i="75" s="1"/>
  <c r="J52" i="75"/>
  <c r="AQ67" i="75" s="1"/>
  <c r="AJ52" i="75"/>
  <c r="AO76" i="75" s="1"/>
  <c r="Y46" i="75"/>
  <c r="AE72" i="75" s="1"/>
  <c r="AE78" i="75" s="1"/>
  <c r="S48" i="75"/>
  <c r="AI70" i="75" s="1"/>
  <c r="V47" i="75"/>
  <c r="AH71" i="75" s="1"/>
  <c r="L50" i="75"/>
  <c r="AK68" i="75" s="1"/>
  <c r="U46" i="75"/>
  <c r="AC71" i="75" s="1"/>
  <c r="O52" i="75"/>
  <c r="AO69" i="75" s="1"/>
  <c r="V44" i="75"/>
  <c r="AA71" i="75" s="1"/>
  <c r="D49" i="75"/>
  <c r="AL65" i="75" s="1"/>
  <c r="AD49" i="75"/>
  <c r="AJ74" i="75" s="1"/>
  <c r="J44" i="75"/>
  <c r="AA67" i="75" s="1"/>
  <c r="V48" i="75"/>
  <c r="AI71" i="75" s="1"/>
  <c r="P45" i="75"/>
  <c r="AD69" i="75" s="1"/>
  <c r="AK47" i="75"/>
  <c r="AH76" i="75" s="1"/>
  <c r="J45" i="75"/>
  <c r="AD67" i="75" s="1"/>
  <c r="X50" i="75"/>
  <c r="AK72" i="75" s="1"/>
  <c r="BB31" i="70"/>
  <c r="AF77" i="70" s="1"/>
  <c r="Y31" i="70"/>
  <c r="AH72" i="70" s="1"/>
  <c r="BI37" i="70"/>
  <c r="AI99" i="70" s="1"/>
  <c r="AG29" i="70"/>
  <c r="AL53" i="70" s="1"/>
  <c r="BT33" i="70"/>
  <c r="AQ80" i="70" s="1"/>
  <c r="Y29" i="70"/>
  <c r="AT51" i="70" s="1"/>
  <c r="BI31" i="70"/>
  <c r="AH78" i="70" s="1"/>
  <c r="BO33" i="70"/>
  <c r="AS79" i="70" s="1"/>
  <c r="AS83" i="70" s="1"/>
  <c r="AS34" i="70"/>
  <c r="AL76" i="70" s="1"/>
  <c r="E33" i="70"/>
  <c r="AO69" i="70" s="1"/>
  <c r="BT34" i="70"/>
  <c r="AR80" i="70" s="1"/>
  <c r="AU31" i="70"/>
  <c r="AD76" i="70" s="1"/>
  <c r="AV31" i="70"/>
  <c r="AF76" i="70" s="1"/>
  <c r="BA34" i="70"/>
  <c r="BN28" i="70"/>
  <c r="AQ58" i="70" s="1"/>
  <c r="AZ33" i="70"/>
  <c r="AM77" i="70" s="1"/>
  <c r="AM83" i="70" s="1"/>
  <c r="C34" i="70"/>
  <c r="AL69" i="70" s="1"/>
  <c r="AN34" i="70"/>
  <c r="AN75" i="70" s="1"/>
  <c r="M29" i="70"/>
  <c r="AT49" i="70" s="1"/>
  <c r="D31" i="70"/>
  <c r="AB69" i="70" s="1"/>
  <c r="BT29" i="70"/>
  <c r="AR59" i="70" s="1"/>
  <c r="G37" i="70"/>
  <c r="AI90" i="70" s="1"/>
  <c r="AJ33" i="70"/>
  <c r="AQ74" i="70" s="1"/>
  <c r="AQ34" i="70"/>
  <c r="AT75" i="70" s="1"/>
  <c r="AT82" i="70" s="1"/>
  <c r="AI28" i="70"/>
  <c r="AO53" i="70" s="1"/>
  <c r="BQ32" i="70"/>
  <c r="AA80" i="70" s="1"/>
  <c r="AE33" i="70"/>
  <c r="AS73" i="70" s="1"/>
  <c r="BC34" i="70"/>
  <c r="AT77" i="70" s="1"/>
  <c r="BI29" i="70"/>
  <c r="AT57" i="70" s="1"/>
  <c r="AG33" i="70"/>
  <c r="AK74" i="70" s="1"/>
  <c r="E32" i="70"/>
  <c r="AE69" i="70" s="1"/>
  <c r="BI34" i="70"/>
  <c r="AT78" i="70" s="1"/>
  <c r="AT83" i="70" s="1"/>
  <c r="BQ29" i="70"/>
  <c r="AL59" i="70" s="1"/>
  <c r="AP32" i="70"/>
  <c r="AG75" i="70" s="1"/>
  <c r="AN29" i="70"/>
  <c r="AN54" i="70" s="1"/>
  <c r="S28" i="70"/>
  <c r="AS50" i="70" s="1"/>
  <c r="R37" i="70"/>
  <c r="AG92" i="70" s="1"/>
  <c r="Q32" i="70"/>
  <c r="AE71" i="70" s="1"/>
  <c r="BN31" i="70"/>
  <c r="AF79" i="70" s="1"/>
  <c r="Y33" i="70"/>
  <c r="AS72" i="70" s="1"/>
  <c r="BE29" i="70"/>
  <c r="AL57" i="70" s="1"/>
  <c r="BL32" i="70"/>
  <c r="AC79" i="70" s="1"/>
  <c r="U32" i="70"/>
  <c r="AA72" i="70" s="1"/>
  <c r="E31" i="70"/>
  <c r="AD69" i="70" s="1"/>
  <c r="AB29" i="70"/>
  <c r="AN52" i="70" s="1"/>
  <c r="AP28" i="70"/>
  <c r="AQ54" i="70" s="1"/>
  <c r="D37" i="70"/>
  <c r="AC90" i="70" s="1"/>
  <c r="AY32" i="70"/>
  <c r="AA77" i="70" s="1"/>
  <c r="AA83" i="70" s="1"/>
  <c r="BR29" i="70"/>
  <c r="AN59" i="70" s="1"/>
  <c r="BS32" i="70"/>
  <c r="AY31" i="70"/>
  <c r="Z77" i="70" s="1"/>
  <c r="AB37" i="70"/>
  <c r="AC94" i="70" s="1"/>
  <c r="W34" i="70"/>
  <c r="AP72" i="70" s="1"/>
  <c r="C31" i="70"/>
  <c r="Z69" i="70" s="1"/>
  <c r="U33" i="70"/>
  <c r="AK72" i="70" s="1"/>
  <c r="L32" i="70"/>
  <c r="AG70" i="70" s="1"/>
  <c r="AG81" i="70" s="1"/>
  <c r="BH31" i="70"/>
  <c r="AF78" i="70" s="1"/>
  <c r="BT32" i="70"/>
  <c r="AG80" i="70" s="1"/>
  <c r="AA32" i="70"/>
  <c r="AA73" i="70" s="1"/>
  <c r="BO31" i="70"/>
  <c r="AH79" i="70" s="1"/>
  <c r="D45" i="75"/>
  <c r="AD65" i="75" s="1"/>
  <c r="AA50" i="75"/>
  <c r="AK73" i="75" s="1"/>
  <c r="S50" i="75"/>
  <c r="AM70" i="75" s="1"/>
  <c r="AB48" i="75"/>
  <c r="AI73" i="75" s="1"/>
  <c r="O47" i="75"/>
  <c r="AF69" i="75" s="1"/>
  <c r="Y43" i="75"/>
  <c r="Z72" i="75" s="1"/>
  <c r="AJ50" i="75"/>
  <c r="AK76" i="75" s="1"/>
  <c r="I52" i="75"/>
  <c r="AO67" i="75" s="1"/>
  <c r="U45" i="75"/>
  <c r="AB71" i="75" s="1"/>
  <c r="O50" i="75"/>
  <c r="AK69" i="75" s="1"/>
  <c r="L47" i="75"/>
  <c r="AF68" i="75" s="1"/>
  <c r="O48" i="75"/>
  <c r="AG69" i="75" s="1"/>
  <c r="AB51" i="75"/>
  <c r="AP73" i="75" s="1"/>
  <c r="X49" i="75"/>
  <c r="AJ72" i="75" s="1"/>
  <c r="I51" i="75"/>
  <c r="AN67" i="75" s="1"/>
  <c r="R50" i="75"/>
  <c r="AK70" i="75" s="1"/>
  <c r="M51" i="75"/>
  <c r="AP68" i="75" s="1"/>
  <c r="V49" i="75"/>
  <c r="AL71" i="75" s="1"/>
  <c r="Y52" i="75"/>
  <c r="AQ72" i="75" s="1"/>
  <c r="J46" i="75"/>
  <c r="AE67" i="75" s="1"/>
  <c r="AA52" i="75"/>
  <c r="AO73" i="75" s="1"/>
  <c r="D51" i="75"/>
  <c r="AP65" i="75" s="1"/>
  <c r="AP77" i="75" s="1"/>
  <c r="G46" i="75"/>
  <c r="AE66" i="75" s="1"/>
  <c r="M50" i="75"/>
  <c r="AM68" i="75" s="1"/>
  <c r="AJ44" i="75"/>
  <c r="Y76" i="75" s="1"/>
  <c r="R44" i="75"/>
  <c r="Y70" i="75" s="1"/>
  <c r="X45" i="75"/>
  <c r="AB72" i="75" s="1"/>
  <c r="J49" i="75"/>
  <c r="AL67" i="75" s="1"/>
  <c r="AO34" i="70"/>
  <c r="AP75" i="70" s="1"/>
  <c r="BC29" i="70"/>
  <c r="AT56" i="70" s="1"/>
  <c r="I33" i="70"/>
  <c r="AK70" i="70" s="1"/>
  <c r="BM31" i="70"/>
  <c r="AD79" i="70" s="1"/>
  <c r="I32" i="70"/>
  <c r="AA70" i="70" s="1"/>
  <c r="Q36" i="70"/>
  <c r="AD92" i="70" s="1"/>
  <c r="AD102" i="70" s="1"/>
  <c r="Q31" i="70"/>
  <c r="AD71" i="70" s="1"/>
  <c r="P37" i="70"/>
  <c r="AC92" i="70" s="1"/>
  <c r="AG37" i="70"/>
  <c r="AA95" i="70" s="1"/>
  <c r="V36" i="70"/>
  <c r="AB93" i="70" s="1"/>
  <c r="AP37" i="70"/>
  <c r="AG96" i="70" s="1"/>
  <c r="BG36" i="70"/>
  <c r="AD99" i="70" s="1"/>
  <c r="BU36" i="70"/>
  <c r="AH101" i="70" s="1"/>
  <c r="AO36" i="70"/>
  <c r="AD96" i="70" s="1"/>
  <c r="O29" i="70"/>
  <c r="AL50" i="70" s="1"/>
  <c r="BA31" i="70"/>
  <c r="AD77" i="70" s="1"/>
  <c r="AH31" i="70"/>
  <c r="AB74" i="70" s="1"/>
  <c r="AO31" i="70"/>
  <c r="AD75" i="70" s="1"/>
  <c r="BU31" i="70"/>
  <c r="AH80" i="70" s="1"/>
  <c r="G29" i="70"/>
  <c r="AT48" i="70" s="1"/>
  <c r="L37" i="70"/>
  <c r="AG91" i="70" s="1"/>
  <c r="AU36" i="70"/>
  <c r="AD97" i="70" s="1"/>
  <c r="U34" i="70"/>
  <c r="AL72" i="70" s="1"/>
  <c r="AC34" i="70"/>
  <c r="AP73" i="70" s="1"/>
  <c r="AD33" i="70"/>
  <c r="AQ73" i="70" s="1"/>
  <c r="BH28" i="70"/>
  <c r="AQ57" i="70" s="1"/>
  <c r="U37" i="70"/>
  <c r="AA93" i="70" s="1"/>
  <c r="AC33" i="70"/>
  <c r="AO73" i="70" s="1"/>
  <c r="AE29" i="70"/>
  <c r="AT52" i="70" s="1"/>
  <c r="I37" i="70"/>
  <c r="AA91" i="70" s="1"/>
  <c r="AA102" i="70" s="1"/>
  <c r="J33" i="70"/>
  <c r="AM70" i="70" s="1"/>
  <c r="Y34" i="70"/>
  <c r="AT72" i="70" s="1"/>
  <c r="BI32" i="70"/>
  <c r="AI78" i="70" s="1"/>
  <c r="R32" i="70"/>
  <c r="AG71" i="70" s="1"/>
  <c r="AM28" i="70"/>
  <c r="AK54" i="70" s="1"/>
  <c r="W37" i="70"/>
  <c r="AE93" i="70" s="1"/>
  <c r="BC37" i="70"/>
  <c r="AI98" i="70" s="1"/>
  <c r="BN34" i="70"/>
  <c r="AR79" i="70" s="1"/>
  <c r="AC31" i="70"/>
  <c r="AD73" i="70" s="1"/>
  <c r="X34" i="70"/>
  <c r="AR72" i="70" s="1"/>
  <c r="E37" i="70"/>
  <c r="AE90" i="70" s="1"/>
  <c r="AG36" i="70"/>
  <c r="Z95" i="70" s="1"/>
  <c r="U31" i="70"/>
  <c r="Z72" i="70" s="1"/>
  <c r="AG32" i="70"/>
  <c r="AA74" i="70" s="1"/>
  <c r="U36" i="70"/>
  <c r="Z93" i="70" s="1"/>
  <c r="AU28" i="70"/>
  <c r="AO55" i="70" s="1"/>
  <c r="K31" i="70"/>
  <c r="AD70" i="70" s="1"/>
  <c r="R33" i="70"/>
  <c r="AQ71" i="70" s="1"/>
  <c r="BS33" i="70"/>
  <c r="AO80" i="70" s="1"/>
  <c r="BR28" i="70"/>
  <c r="AM59" i="70" s="1"/>
  <c r="AA37" i="70"/>
  <c r="AA94" i="70" s="1"/>
  <c r="BO36" i="70"/>
  <c r="AH100" i="70" s="1"/>
  <c r="AW36" i="70"/>
  <c r="AH97" i="70" s="1"/>
  <c r="AJ36" i="70"/>
  <c r="AF95" i="70" s="1"/>
  <c r="AF103" i="70" s="1"/>
  <c r="AZ32" i="70"/>
  <c r="AC77" i="70" s="1"/>
  <c r="L34" i="70"/>
  <c r="AR70" i="70" s="1"/>
  <c r="F36" i="70"/>
  <c r="AF90" i="70" s="1"/>
  <c r="AF102" i="70" s="1"/>
  <c r="AZ31" i="70"/>
  <c r="AB77" i="70" s="1"/>
  <c r="AN32" i="70"/>
  <c r="AC75" i="70" s="1"/>
  <c r="BU32" i="70"/>
  <c r="AI80" i="70" s="1"/>
  <c r="X43" i="75"/>
  <c r="X72" i="75" s="1"/>
  <c r="M45" i="75"/>
  <c r="AD68" i="75" s="1"/>
  <c r="G45" i="75"/>
  <c r="AD66" i="75" s="1"/>
  <c r="V52" i="75"/>
  <c r="AQ71" i="75" s="1"/>
  <c r="AQ78" i="75" s="1"/>
  <c r="AH45" i="75"/>
  <c r="AD75" i="75" s="1"/>
  <c r="S43" i="75"/>
  <c r="Z70" i="75" s="1"/>
  <c r="Z78" i="75" s="1"/>
  <c r="G49" i="75"/>
  <c r="AL66" i="75" s="1"/>
  <c r="L45" i="75"/>
  <c r="AB68" i="75" s="1"/>
  <c r="I47" i="75"/>
  <c r="AF67" i="75" s="1"/>
  <c r="C49" i="75"/>
  <c r="AJ65" i="75" s="1"/>
  <c r="M49" i="75"/>
  <c r="AL68" i="75" s="1"/>
  <c r="AG52" i="75"/>
  <c r="AO75" i="75" s="1"/>
  <c r="G47" i="75"/>
  <c r="AH66" i="75" s="1"/>
  <c r="AK46" i="75"/>
  <c r="AE76" i="75" s="1"/>
  <c r="U51" i="75"/>
  <c r="AN71" i="75" s="1"/>
  <c r="J50" i="75"/>
  <c r="AM67" i="75" s="1"/>
  <c r="R47" i="75"/>
  <c r="AF70" i="75" s="1"/>
  <c r="P49" i="75"/>
  <c r="AL69" i="75" s="1"/>
  <c r="AE47" i="75"/>
  <c r="AH74" i="75" s="1"/>
  <c r="AE51" i="75"/>
  <c r="AP74" i="75" s="1"/>
  <c r="C52" i="75"/>
  <c r="AO65" i="75" s="1"/>
  <c r="I46" i="75"/>
  <c r="AC67" i="75" s="1"/>
  <c r="S49" i="75"/>
  <c r="AL70" i="75" s="1"/>
  <c r="AD47" i="75"/>
  <c r="AF74" i="75" s="1"/>
  <c r="AB45" i="75"/>
  <c r="AD73" i="75" s="1"/>
  <c r="BG28" i="70"/>
  <c r="AO57" i="70" s="1"/>
  <c r="BT37" i="70"/>
  <c r="AG101" i="70" s="1"/>
  <c r="BH32" i="70"/>
  <c r="AG78" i="70" s="1"/>
  <c r="BC33" i="70"/>
  <c r="AS77" i="70" s="1"/>
  <c r="C37" i="70"/>
  <c r="AA90" i="70" s="1"/>
  <c r="C28" i="70"/>
  <c r="AK48" i="70" s="1"/>
  <c r="BC31" i="70"/>
  <c r="AH77" i="70" s="1"/>
  <c r="J29" i="70"/>
  <c r="AN49" i="70" s="1"/>
  <c r="L31" i="70"/>
  <c r="AF70" i="70" s="1"/>
  <c r="G32" i="70"/>
  <c r="AI69" i="70" s="1"/>
  <c r="AI31" i="70"/>
  <c r="AD74" i="70" s="1"/>
  <c r="AD82" i="70" s="1"/>
  <c r="BN32" i="70"/>
  <c r="AG79" i="70" s="1"/>
  <c r="AH34" i="70"/>
  <c r="AN74" i="70" s="1"/>
  <c r="AT28" i="70"/>
  <c r="AM55" i="70" s="1"/>
  <c r="L33" i="70"/>
  <c r="AQ70" i="70" s="1"/>
  <c r="BL34" i="70"/>
  <c r="AN79" i="70" s="1"/>
  <c r="AH28" i="70"/>
  <c r="AM53" i="70" s="1"/>
  <c r="BQ31" i="70"/>
  <c r="Z80" i="70" s="1"/>
  <c r="S29" i="70"/>
  <c r="AT50" i="70" s="1"/>
  <c r="AT60" i="70" s="1"/>
  <c r="BA33" i="70"/>
  <c r="AO77" i="70" s="1"/>
  <c r="O36" i="70"/>
  <c r="Z92" i="70" s="1"/>
  <c r="BA36" i="70"/>
  <c r="AD98" i="70" s="1"/>
  <c r="AH29" i="70"/>
  <c r="AN53" i="70" s="1"/>
  <c r="AM31" i="70"/>
  <c r="Z75" i="70" s="1"/>
  <c r="AT32" i="70"/>
  <c r="AC76" i="70" s="1"/>
  <c r="K37" i="70"/>
  <c r="AE91" i="70" s="1"/>
  <c r="AI36" i="70"/>
  <c r="AD95" i="70" s="1"/>
  <c r="BN36" i="70"/>
  <c r="AF100" i="70" s="1"/>
  <c r="F32" i="70"/>
  <c r="AG69" i="70" s="1"/>
  <c r="AE31" i="70"/>
  <c r="AH73" i="70" s="1"/>
  <c r="BA37" i="70"/>
  <c r="AM34" i="70"/>
  <c r="AL75" i="70" s="1"/>
  <c r="K29" i="70"/>
  <c r="AP49" i="70" s="1"/>
  <c r="BB28" i="70"/>
  <c r="AQ56" i="70" s="1"/>
  <c r="P32" i="70"/>
  <c r="AC71" i="70" s="1"/>
  <c r="AC81" i="70" s="1"/>
  <c r="Y37" i="70"/>
  <c r="AI93" i="70" s="1"/>
  <c r="BH37" i="70"/>
  <c r="AG99" i="70" s="1"/>
  <c r="S32" i="70"/>
  <c r="AI71" i="70" s="1"/>
  <c r="W33" i="70"/>
  <c r="AO72" i="70" s="1"/>
  <c r="BE34" i="70"/>
  <c r="AL78" i="70" s="1"/>
  <c r="S37" i="70"/>
  <c r="AI92" i="70" s="1"/>
  <c r="AQ37" i="70"/>
  <c r="AI96" i="70" s="1"/>
  <c r="BR36" i="70"/>
  <c r="AB101" i="70" s="1"/>
  <c r="D29" i="70"/>
  <c r="AN48" i="70" s="1"/>
  <c r="AN28" i="70"/>
  <c r="AM54" i="70" s="1"/>
  <c r="BE37" i="70"/>
  <c r="AA99" i="70" s="1"/>
  <c r="AT33" i="70"/>
  <c r="AM76" i="70" s="1"/>
  <c r="G34" i="70"/>
  <c r="AT69" i="70" s="1"/>
  <c r="I34" i="70"/>
  <c r="AL70" i="70" s="1"/>
  <c r="BB32" i="70"/>
  <c r="AG77" i="70" s="1"/>
  <c r="AK36" i="70"/>
  <c r="AH95" i="70" s="1"/>
  <c r="AH103" i="70" s="1"/>
  <c r="BT36" i="70"/>
  <c r="AF101" i="70" s="1"/>
  <c r="U28" i="70"/>
  <c r="AK51" i="70" s="1"/>
  <c r="Q29" i="70"/>
  <c r="AP50" i="70" s="1"/>
  <c r="AS33" i="70"/>
  <c r="AK76" i="70" s="1"/>
  <c r="AT29" i="70"/>
  <c r="AN55" i="70" s="1"/>
  <c r="Q37" i="70"/>
  <c r="AE92" i="70" s="1"/>
  <c r="AT37" i="70"/>
  <c r="AC97" i="70" s="1"/>
  <c r="AS31" i="70"/>
  <c r="Z76" i="70" s="1"/>
  <c r="Z82" i="70" s="1"/>
  <c r="AE28" i="70"/>
  <c r="AS52" i="70" s="1"/>
  <c r="AH37" i="70"/>
  <c r="AC95" i="70" s="1"/>
  <c r="AE48" i="75"/>
  <c r="AI74" i="75" s="1"/>
  <c r="P47" i="75"/>
  <c r="AH69" i="75" s="1"/>
  <c r="AH52" i="75"/>
  <c r="AQ75" i="75" s="1"/>
  <c r="G43" i="75"/>
  <c r="Z66" i="75" s="1"/>
  <c r="R49" i="75"/>
  <c r="AJ70" i="75" s="1"/>
  <c r="Y50" i="75"/>
  <c r="AM72" i="75" s="1"/>
  <c r="X46" i="75"/>
  <c r="AC72" i="75" s="1"/>
  <c r="G48" i="75"/>
  <c r="AI66" i="75" s="1"/>
  <c r="AI77" i="75" s="1"/>
  <c r="AD50" i="75"/>
  <c r="AK74" i="75" s="1"/>
  <c r="C48" i="75"/>
  <c r="AG65" i="75" s="1"/>
  <c r="X51" i="75"/>
  <c r="AN72" i="75" s="1"/>
  <c r="AA46" i="75"/>
  <c r="AC73" i="75" s="1"/>
  <c r="AG51" i="75"/>
  <c r="AN75" i="75" s="1"/>
  <c r="AB44" i="75"/>
  <c r="AA73" i="75" s="1"/>
  <c r="AA79" i="75" s="1"/>
  <c r="U47" i="75"/>
  <c r="AF71" i="75" s="1"/>
  <c r="O44" i="75"/>
  <c r="Y69" i="75" s="1"/>
  <c r="AG45" i="75"/>
  <c r="AB75" i="75" s="1"/>
  <c r="P50" i="75"/>
  <c r="AM69" i="75" s="1"/>
  <c r="AM78" i="75" s="1"/>
  <c r="AG47" i="75"/>
  <c r="AF75" i="75" s="1"/>
  <c r="F51" i="75"/>
  <c r="AN66" i="75" s="1"/>
  <c r="AO33" i="70"/>
  <c r="AO75" i="70" s="1"/>
  <c r="Q34" i="70"/>
  <c r="AP71" i="70" s="1"/>
  <c r="BG31" i="70"/>
  <c r="AD78" i="70" s="1"/>
  <c r="BL29" i="70"/>
  <c r="AN58" i="70" s="1"/>
  <c r="AN62" i="70" s="1"/>
  <c r="AT34" i="70"/>
  <c r="AN76" i="70" s="1"/>
  <c r="AK31" i="70"/>
  <c r="AH74" i="70" s="1"/>
  <c r="AK32" i="70"/>
  <c r="AI74" i="70" s="1"/>
  <c r="AI82" i="70" s="1"/>
  <c r="BK33" i="70"/>
  <c r="AK79" i="70" s="1"/>
  <c r="AS37" i="70"/>
  <c r="AA97" i="70" s="1"/>
  <c r="S34" i="70"/>
  <c r="AT71" i="70" s="1"/>
  <c r="BB37" i="70"/>
  <c r="AG98" i="70" s="1"/>
  <c r="AC32" i="70"/>
  <c r="AE73" i="70" s="1"/>
  <c r="AE82" i="70" s="1"/>
  <c r="BR32" i="70"/>
  <c r="AC80" i="70" s="1"/>
  <c r="D34" i="70"/>
  <c r="AN69" i="70" s="1"/>
  <c r="BL37" i="70"/>
  <c r="AC100" i="70" s="1"/>
  <c r="AC104" i="70" s="1"/>
  <c r="E29" i="70"/>
  <c r="AP48" i="70" s="1"/>
  <c r="BR34" i="70"/>
  <c r="AN80" i="70" s="1"/>
  <c r="BE28" i="70"/>
  <c r="AK57" i="70" s="1"/>
  <c r="O32" i="70"/>
  <c r="AA71" i="70" s="1"/>
  <c r="R31" i="70"/>
  <c r="AF71" i="70" s="1"/>
  <c r="AF81" i="70" s="1"/>
  <c r="AZ36" i="70"/>
  <c r="AB98" i="70" s="1"/>
  <c r="X31" i="70"/>
  <c r="AF72" i="70" s="1"/>
  <c r="BG33" i="70"/>
  <c r="AO78" i="70" s="1"/>
  <c r="AO83" i="70" s="1"/>
  <c r="M28" i="70"/>
  <c r="AS49" i="70" s="1"/>
  <c r="X29" i="70"/>
  <c r="AR51" i="70" s="1"/>
  <c r="AR60" i="70" s="1"/>
  <c r="AV37" i="70"/>
  <c r="AG97" i="70" s="1"/>
  <c r="BU37" i="70"/>
  <c r="AI101" i="70" s="1"/>
  <c r="BS28" i="70"/>
  <c r="AO59" i="70" s="1"/>
  <c r="AO62" i="70" s="1"/>
  <c r="C29" i="70"/>
  <c r="AL48" i="70" s="1"/>
  <c r="BK32" i="70"/>
  <c r="AA79" i="70" s="1"/>
  <c r="AD31" i="70"/>
  <c r="AF73" i="70" s="1"/>
  <c r="AF82" i="70" s="1"/>
  <c r="O31" i="70"/>
  <c r="Z71" i="70" s="1"/>
  <c r="BH33" i="70"/>
  <c r="AQ78" i="70" s="1"/>
  <c r="BB34" i="70"/>
  <c r="AR77" i="70" s="1"/>
  <c r="BC28" i="70"/>
  <c r="AS56" i="70" s="1"/>
  <c r="BM37" i="70"/>
  <c r="AE100" i="70" s="1"/>
  <c r="BU34" i="70"/>
  <c r="AT80" i="70" s="1"/>
  <c r="Y28" i="70"/>
  <c r="AS51" i="70" s="1"/>
  <c r="AV34" i="70"/>
  <c r="AR76" i="70" s="1"/>
  <c r="AR82" i="70" s="1"/>
  <c r="BR31" i="70"/>
  <c r="AB80" i="70" s="1"/>
  <c r="BG37" i="70"/>
  <c r="AE99" i="70" s="1"/>
  <c r="AY34" i="70"/>
  <c r="AL77" i="70" s="1"/>
  <c r="S33" i="70"/>
  <c r="AS71" i="70" s="1"/>
  <c r="AQ31" i="70"/>
  <c r="AH75" i="70" s="1"/>
  <c r="AH82" i="70" s="1"/>
  <c r="O28" i="70"/>
  <c r="AK50" i="70" s="1"/>
  <c r="G31" i="70"/>
  <c r="AH69" i="70" s="1"/>
  <c r="S31" i="70"/>
  <c r="AH71" i="70" s="1"/>
  <c r="AH81" i="70" s="1"/>
  <c r="D33" i="70"/>
  <c r="AM69" i="70" s="1"/>
  <c r="AI34" i="70"/>
  <c r="AP74" i="70" s="1"/>
  <c r="AP82" i="70" s="1"/>
  <c r="AJ31" i="70"/>
  <c r="AF74" i="70" s="1"/>
  <c r="BQ37" i="70"/>
  <c r="AA101" i="70" s="1"/>
  <c r="Q33" i="70"/>
  <c r="AO71" i="70" s="1"/>
  <c r="AO81" i="70" s="1"/>
  <c r="AS32" i="70"/>
  <c r="AA76" i="70" s="1"/>
  <c r="BH36" i="70"/>
  <c r="AF99" i="70" s="1"/>
  <c r="AF104" i="70" s="1"/>
  <c r="J34" i="70"/>
  <c r="AN70" i="70" s="1"/>
  <c r="AN81" i="70" s="1"/>
  <c r="AE36" i="70"/>
  <c r="AH94" i="70" s="1"/>
  <c r="BC36" i="70"/>
  <c r="AH98" i="70" s="1"/>
  <c r="BE32" i="70"/>
  <c r="AA78" i="70" s="1"/>
  <c r="AQ32" i="70"/>
  <c r="AI75" i="70" s="1"/>
  <c r="BM32" i="70"/>
  <c r="AE79" i="70" s="1"/>
  <c r="BQ36" i="70"/>
  <c r="Z101" i="70" s="1"/>
  <c r="AV77" i="75"/>
  <c r="AU78" i="75"/>
  <c r="AV79" i="75"/>
  <c r="AS79" i="75"/>
  <c r="AT78" i="75"/>
  <c r="AU79" i="75"/>
  <c r="AS78" i="75"/>
  <c r="AT79" i="75"/>
  <c r="AV78" i="75"/>
  <c r="Z103" i="70"/>
  <c r="AL77" i="75"/>
  <c r="AC103" i="70"/>
  <c r="AF77" i="75"/>
  <c r="AQ61" i="70"/>
  <c r="AK62" i="70"/>
  <c r="AA103" i="70"/>
  <c r="B99" i="75"/>
  <c r="N89" i="75" s="1"/>
  <c r="AK77" i="75"/>
  <c r="AN79" i="75"/>
  <c r="AH79" i="75"/>
  <c r="Z79" i="75"/>
  <c r="AD77" i="75"/>
  <c r="X79" i="75"/>
  <c r="AD78" i="75"/>
  <c r="AF78" i="75"/>
  <c r="Y77" i="75"/>
  <c r="AE77" i="75"/>
  <c r="AG77" i="75"/>
  <c r="AH77" i="75"/>
  <c r="AQ62" i="70"/>
  <c r="AK81" i="70"/>
  <c r="AH83" i="70"/>
  <c r="AH102" i="70"/>
  <c r="AD103" i="70"/>
  <c r="AL78" i="75"/>
  <c r="AM79" i="75"/>
  <c r="AF79" i="75"/>
  <c r="AB102" i="70"/>
  <c r="AB103" i="70"/>
  <c r="Z77" i="75"/>
  <c r="AD79" i="75"/>
  <c r="AC102" i="70"/>
  <c r="AG104" i="70"/>
  <c r="AA77" i="75"/>
  <c r="AG103" i="70"/>
  <c r="AJ77" i="75"/>
  <c r="AP78" i="75"/>
  <c r="AQ79" i="75"/>
  <c r="AN82" i="70"/>
  <c r="AE102" i="70"/>
  <c r="Z104" i="70"/>
  <c r="AO78" i="75"/>
  <c r="Y78" i="75"/>
  <c r="AC79" i="75"/>
  <c r="AG102" i="70"/>
  <c r="AE98" i="70"/>
  <c r="AE101" i="70"/>
  <c r="AM77" i="75"/>
  <c r="AO79" i="75"/>
  <c r="AQ83" i="70"/>
  <c r="AS60" i="70"/>
  <c r="AO61" i="70"/>
  <c r="AM81" i="70"/>
  <c r="Z81" i="70"/>
  <c r="AC82" i="70"/>
  <c r="AR83" i="70"/>
  <c r="AI83" i="70"/>
  <c r="AP60" i="70"/>
  <c r="AR61" i="70"/>
  <c r="AL62" i="70"/>
  <c r="AR62" i="70"/>
  <c r="AL83" i="70"/>
  <c r="AK83" i="70"/>
  <c r="AL82" i="70"/>
  <c r="AQ60" i="70"/>
  <c r="AN61" i="70"/>
  <c r="AI81" i="70"/>
  <c r="AP81" i="70"/>
  <c r="AQ82" i="70"/>
  <c r="AB82" i="70"/>
  <c r="AC83" i="70"/>
  <c r="AN83" i="70"/>
  <c r="AK82" i="70"/>
  <c r="AO60" i="70"/>
  <c r="AA81" i="70"/>
  <c r="AD83" i="70"/>
  <c r="Z83" i="70"/>
  <c r="AL60" i="70"/>
  <c r="AB81" i="70"/>
  <c r="AR81" i="70"/>
  <c r="AA82" i="70"/>
  <c r="AO82" i="70"/>
  <c r="AM60" i="70"/>
  <c r="AT61" i="70"/>
  <c r="AS62" i="70"/>
  <c r="AT81" i="70"/>
  <c r="AS82" i="70"/>
  <c r="AG82" i="70"/>
  <c r="AG83" i="70"/>
  <c r="AE77" i="70"/>
  <c r="AE80" i="70"/>
  <c r="AP80" i="70"/>
  <c r="AP77" i="70"/>
  <c r="AP56" i="70"/>
  <c r="AP59" i="70"/>
  <c r="C99" i="75"/>
  <c r="D99" i="75"/>
  <c r="D98" i="75"/>
  <c r="B98" i="75"/>
  <c r="C98" i="75"/>
  <c r="B58" i="75"/>
  <c r="CB22" i="70"/>
  <c r="CC22" i="70"/>
  <c r="CD22" i="70"/>
  <c r="CE22" i="70"/>
  <c r="CF22" i="70"/>
  <c r="CG22" i="70"/>
  <c r="CH22" i="70"/>
  <c r="CI22" i="70"/>
  <c r="CJ22" i="70"/>
  <c r="CK22" i="70"/>
  <c r="CL22" i="70"/>
  <c r="CM22" i="70"/>
  <c r="CB4" i="70"/>
  <c r="CC4" i="70"/>
  <c r="CD4" i="70"/>
  <c r="CE4" i="70"/>
  <c r="CF4" i="70"/>
  <c r="CG4" i="70"/>
  <c r="CH4" i="70"/>
  <c r="CI4" i="70"/>
  <c r="CJ4" i="70"/>
  <c r="CK4" i="70"/>
  <c r="CL4" i="70"/>
  <c r="CM4" i="70"/>
  <c r="CB5" i="70"/>
  <c r="CC5" i="70"/>
  <c r="CD5" i="70"/>
  <c r="CE5" i="70"/>
  <c r="CF5" i="70"/>
  <c r="CG5" i="70"/>
  <c r="CH5" i="70"/>
  <c r="CI5" i="70"/>
  <c r="CJ5" i="70"/>
  <c r="CK5" i="70"/>
  <c r="CL5" i="70"/>
  <c r="CM5" i="70"/>
  <c r="CB6" i="70"/>
  <c r="CC6" i="70"/>
  <c r="CD6" i="70"/>
  <c r="CE6" i="70"/>
  <c r="CF6" i="70"/>
  <c r="CG6" i="70"/>
  <c r="CH6" i="70"/>
  <c r="CI6" i="70"/>
  <c r="CJ6" i="70"/>
  <c r="CK6" i="70"/>
  <c r="CL6" i="70"/>
  <c r="CM6" i="70"/>
  <c r="CB11" i="70"/>
  <c r="CC11" i="70"/>
  <c r="CD11" i="70"/>
  <c r="CE11" i="70"/>
  <c r="CF11" i="70"/>
  <c r="CG11" i="70"/>
  <c r="CH11" i="70"/>
  <c r="CI11" i="70"/>
  <c r="CJ11" i="70"/>
  <c r="CK11" i="70"/>
  <c r="CL11" i="70"/>
  <c r="CM11" i="70"/>
  <c r="CB12" i="70"/>
  <c r="CC12" i="70"/>
  <c r="CD12" i="70"/>
  <c r="CE12" i="70"/>
  <c r="CF12" i="70"/>
  <c r="CG12" i="70"/>
  <c r="CH12" i="70"/>
  <c r="CI12" i="70"/>
  <c r="CJ12" i="70"/>
  <c r="CK12" i="70"/>
  <c r="CL12" i="70"/>
  <c r="CM12" i="70"/>
  <c r="CB13" i="70"/>
  <c r="CC13" i="70"/>
  <c r="CD13" i="70"/>
  <c r="CE13" i="70"/>
  <c r="CF13" i="70"/>
  <c r="CG13" i="70"/>
  <c r="CH13" i="70"/>
  <c r="CI13" i="70"/>
  <c r="CJ13" i="70"/>
  <c r="CK13" i="70"/>
  <c r="CL13" i="70"/>
  <c r="CM13" i="70"/>
  <c r="CB14" i="70"/>
  <c r="CC14" i="70"/>
  <c r="CD14" i="70"/>
  <c r="CE14" i="70"/>
  <c r="CF14" i="70"/>
  <c r="CG14" i="70"/>
  <c r="CH14" i="70"/>
  <c r="CI14" i="70"/>
  <c r="CJ14" i="70"/>
  <c r="CK14" i="70"/>
  <c r="CL14" i="70"/>
  <c r="CM14" i="70"/>
  <c r="CB15" i="70"/>
  <c r="CC15" i="70"/>
  <c r="CD15" i="70"/>
  <c r="CE15" i="70"/>
  <c r="CF15" i="70"/>
  <c r="CG15" i="70"/>
  <c r="CH15" i="70"/>
  <c r="CI15" i="70"/>
  <c r="CJ15" i="70"/>
  <c r="CK15" i="70"/>
  <c r="CL15" i="70"/>
  <c r="CM15" i="70"/>
  <c r="CB16" i="70"/>
  <c r="CC16" i="70"/>
  <c r="CD16" i="70"/>
  <c r="CE16" i="70"/>
  <c r="CF16" i="70"/>
  <c r="CG16" i="70"/>
  <c r="CH16" i="70"/>
  <c r="CI16" i="70"/>
  <c r="CJ16" i="70"/>
  <c r="CK16" i="70"/>
  <c r="CL16" i="70"/>
  <c r="CM16" i="70"/>
  <c r="CB17" i="70"/>
  <c r="CC17" i="70"/>
  <c r="CD17" i="70"/>
  <c r="CE17" i="70"/>
  <c r="CF17" i="70"/>
  <c r="CG17" i="70"/>
  <c r="CH17" i="70"/>
  <c r="CI17" i="70"/>
  <c r="CJ17" i="70"/>
  <c r="CK17" i="70"/>
  <c r="CL17" i="70"/>
  <c r="CM17" i="70"/>
  <c r="CB18" i="70"/>
  <c r="CC18" i="70"/>
  <c r="CD18" i="70"/>
  <c r="CE18" i="70"/>
  <c r="CF18" i="70"/>
  <c r="CG18" i="70"/>
  <c r="CH18" i="70"/>
  <c r="CI18" i="70"/>
  <c r="CJ18" i="70"/>
  <c r="CK18" i="70"/>
  <c r="CL18" i="70"/>
  <c r="CM18" i="70"/>
  <c r="CB19" i="70"/>
  <c r="CC19" i="70"/>
  <c r="CD19" i="70"/>
  <c r="CE19" i="70"/>
  <c r="CF19" i="70"/>
  <c r="CG19" i="70"/>
  <c r="CH19" i="70"/>
  <c r="CI19" i="70"/>
  <c r="CJ19" i="70"/>
  <c r="CK19" i="70"/>
  <c r="CL19" i="70"/>
  <c r="CM19" i="70"/>
  <c r="CB20" i="70"/>
  <c r="CC20" i="70"/>
  <c r="CD20" i="70"/>
  <c r="CE20" i="70"/>
  <c r="CF20" i="70"/>
  <c r="CG20" i="70"/>
  <c r="CH20" i="70"/>
  <c r="CI20" i="70"/>
  <c r="CJ20" i="70"/>
  <c r="CK20" i="70"/>
  <c r="CL20" i="70"/>
  <c r="CM20" i="70"/>
  <c r="CB21" i="70"/>
  <c r="CC21" i="70"/>
  <c r="CD21" i="70"/>
  <c r="CE21" i="70"/>
  <c r="CF21" i="70"/>
  <c r="CG21" i="70"/>
  <c r="CH21" i="70"/>
  <c r="CI21" i="70"/>
  <c r="CJ21" i="70"/>
  <c r="CK21" i="70"/>
  <c r="CL21" i="70"/>
  <c r="CM21" i="70"/>
  <c r="CM3" i="70"/>
  <c r="CK3" i="70"/>
  <c r="CL3" i="70"/>
  <c r="CI3" i="70"/>
  <c r="CJ3" i="70"/>
  <c r="CC3" i="70"/>
  <c r="CD3" i="70"/>
  <c r="CE3" i="70"/>
  <c r="CF3" i="70"/>
  <c r="CG3" i="70"/>
  <c r="CH3" i="70"/>
  <c r="CB3" i="70"/>
  <c r="BV4" i="70"/>
  <c r="BW4" i="70"/>
  <c r="BX4" i="70"/>
  <c r="BY4" i="70"/>
  <c r="BZ4" i="70"/>
  <c r="CA4" i="70"/>
  <c r="BV5" i="70"/>
  <c r="BW5" i="70"/>
  <c r="BX5" i="70"/>
  <c r="BY5" i="70"/>
  <c r="BZ5" i="70"/>
  <c r="CA5" i="70"/>
  <c r="BV6" i="70"/>
  <c r="BW6" i="70"/>
  <c r="BX6" i="70"/>
  <c r="BY6" i="70"/>
  <c r="BZ6" i="70"/>
  <c r="CA6" i="70"/>
  <c r="BV11" i="70"/>
  <c r="BW11" i="70"/>
  <c r="BX11" i="70"/>
  <c r="BY11" i="70"/>
  <c r="BZ11" i="70"/>
  <c r="CA11" i="70"/>
  <c r="BV12" i="70"/>
  <c r="BW12" i="70"/>
  <c r="BX12" i="70"/>
  <c r="BY12" i="70"/>
  <c r="BZ12" i="70"/>
  <c r="CA12" i="70"/>
  <c r="BV13" i="70"/>
  <c r="BW13" i="70"/>
  <c r="BX13" i="70"/>
  <c r="BY13" i="70"/>
  <c r="BZ13" i="70"/>
  <c r="CA13" i="70"/>
  <c r="BV14" i="70"/>
  <c r="BW14" i="70"/>
  <c r="BX14" i="70"/>
  <c r="BY14" i="70"/>
  <c r="BZ14" i="70"/>
  <c r="CA14" i="70"/>
  <c r="BV15" i="70"/>
  <c r="BW15" i="70"/>
  <c r="BX15" i="70"/>
  <c r="BY15" i="70"/>
  <c r="BZ15" i="70"/>
  <c r="CA15" i="70"/>
  <c r="BV16" i="70"/>
  <c r="BW16" i="70"/>
  <c r="BX16" i="70"/>
  <c r="BY16" i="70"/>
  <c r="BZ16" i="70"/>
  <c r="CA16" i="70"/>
  <c r="BV17" i="70"/>
  <c r="BW17" i="70"/>
  <c r="BX17" i="70"/>
  <c r="BY17" i="70"/>
  <c r="BZ17" i="70"/>
  <c r="CA17" i="70"/>
  <c r="BV18" i="70"/>
  <c r="BW18" i="70"/>
  <c r="BX18" i="70"/>
  <c r="BY18" i="70"/>
  <c r="BZ18" i="70"/>
  <c r="CA18" i="70"/>
  <c r="BV19" i="70"/>
  <c r="BW19" i="70"/>
  <c r="BX19" i="70"/>
  <c r="BY19" i="70"/>
  <c r="BZ19" i="70"/>
  <c r="CA19" i="70"/>
  <c r="BV20" i="70"/>
  <c r="BW20" i="70"/>
  <c r="BX20" i="70"/>
  <c r="BY20" i="70"/>
  <c r="BZ20" i="70"/>
  <c r="CA20" i="70"/>
  <c r="BV21" i="70"/>
  <c r="BW21" i="70"/>
  <c r="BX21" i="70"/>
  <c r="BY21" i="70"/>
  <c r="BZ21" i="70"/>
  <c r="CA21" i="70"/>
  <c r="BV22" i="70"/>
  <c r="BW22" i="70"/>
  <c r="BX22" i="70"/>
  <c r="BY22" i="70"/>
  <c r="BZ22" i="70"/>
  <c r="CA22" i="70"/>
  <c r="BW3" i="70"/>
  <c r="BX3" i="70"/>
  <c r="BY3" i="70"/>
  <c r="BZ3" i="70"/>
  <c r="CA3" i="70"/>
  <c r="BV3" i="70"/>
  <c r="M75" i="70"/>
  <c r="L75" i="70"/>
  <c r="BR27" i="70" a="1"/>
  <c r="AP26" i="70" a="1"/>
  <c r="BE27" i="70" a="1"/>
  <c r="W27" i="70" a="1"/>
  <c r="F27" i="70" a="1"/>
  <c r="BM26" i="70" a="1"/>
  <c r="BL26" i="70" a="1"/>
  <c r="BK26" i="70" a="1"/>
  <c r="W26" i="70" a="1"/>
  <c r="C27" i="70" a="1"/>
  <c r="O27" i="70" a="1"/>
  <c r="D26" i="70" a="1"/>
  <c r="C26" i="70" a="1"/>
  <c r="BS26" i="70" a="1"/>
  <c r="Y26" i="70" a="1"/>
  <c r="BE26" i="70" a="1"/>
  <c r="BO26" i="70" a="1"/>
  <c r="AW27" i="70" a="1"/>
  <c r="BA26" i="70" a="1"/>
  <c r="E27" i="70" a="1"/>
  <c r="Q26" i="70" a="1"/>
  <c r="J26" i="70" a="1"/>
  <c r="AV26" i="70" a="1"/>
  <c r="M27" i="70" a="1"/>
  <c r="V26" i="70" a="1"/>
  <c r="AE26" i="70" a="1"/>
  <c r="AD27" i="70" a="1"/>
  <c r="AJ27" i="70" a="1"/>
  <c r="X26" i="70" a="1"/>
  <c r="J27" i="70" a="1"/>
  <c r="BI27" i="70" a="1"/>
  <c r="BO27" i="70" a="1"/>
  <c r="AQ26" i="70" a="1"/>
  <c r="BA27" i="70" a="1"/>
  <c r="AU27" i="70" a="1"/>
  <c r="E26" i="70" a="1"/>
  <c r="K26" i="70" a="1"/>
  <c r="G27" i="70" a="1"/>
  <c r="AV27" i="70" a="1"/>
  <c r="BQ27" i="70" a="1"/>
  <c r="AO27" i="70" a="1"/>
  <c r="AQ27" i="70" a="1"/>
  <c r="F26" i="70" a="1"/>
  <c r="AH26" i="70" a="1"/>
  <c r="Y27" i="70" a="1"/>
  <c r="R27" i="70" a="1"/>
  <c r="BB27" i="70" a="1"/>
  <c r="R26" i="70" a="1"/>
  <c r="BS27" i="70" a="1"/>
  <c r="G26" i="70" a="1"/>
  <c r="S26" i="70" a="1"/>
  <c r="AZ27" i="70" a="1"/>
  <c r="BH27" i="70" a="1"/>
  <c r="AH27" i="70" a="1"/>
  <c r="AB27" i="70" a="1"/>
  <c r="AI26" i="70" a="1"/>
  <c r="M26" i="70" a="1"/>
  <c r="AJ26" i="70" a="1"/>
  <c r="AU26" i="70" a="1"/>
  <c r="BU27" i="70" a="1"/>
  <c r="V27" i="70" a="1"/>
  <c r="AM27" i="70" a="1"/>
  <c r="BH26" i="70" a="1"/>
  <c r="AY26" i="70" a="1"/>
  <c r="BL27" i="70" a="1"/>
  <c r="I27" i="70" a="1"/>
  <c r="AC27" i="70" a="1"/>
  <c r="L26" i="70" a="1"/>
  <c r="AN26" i="70" a="1"/>
  <c r="AS27" i="70" a="1"/>
  <c r="Q27" i="70" a="1"/>
  <c r="D27" i="70" a="1"/>
  <c r="K27" i="70" a="1"/>
  <c r="BC27" i="70" a="1"/>
  <c r="BF27" i="70" a="1"/>
  <c r="AB26" i="70" a="1"/>
  <c r="O26" i="70" a="1"/>
  <c r="BB26" i="70" a="1"/>
  <c r="P27" i="70" a="1"/>
  <c r="BN27" i="70" a="1"/>
  <c r="AO26" i="70" a="1"/>
  <c r="S74" i="70" a="1"/>
  <c r="AG27" i="70" a="1"/>
  <c r="X27" i="70" a="1"/>
  <c r="AT26" i="70" a="1"/>
  <c r="AY27" i="70" a="1"/>
  <c r="BN26" i="70" a="1"/>
  <c r="AS26" i="70" a="1"/>
  <c r="AA26" i="70" a="1"/>
  <c r="BT27" i="70" a="1"/>
  <c r="AD26" i="70" a="1"/>
  <c r="BI26" i="70" a="1"/>
  <c r="AI27" i="70" a="1"/>
  <c r="S27" i="70" a="1"/>
  <c r="AN27" i="70" a="1"/>
  <c r="AM26" i="70" a="1"/>
  <c r="BC26" i="70" a="1"/>
  <c r="AG26" i="70" a="1"/>
  <c r="BK27" i="70" a="1"/>
  <c r="BQ26" i="70" a="1"/>
  <c r="AT27" i="70" a="1"/>
  <c r="BG27" i="70" a="1"/>
  <c r="AW26" i="70" a="1"/>
  <c r="BT26" i="70" a="1"/>
  <c r="I26" i="70" a="1"/>
  <c r="BF26" i="70" a="1"/>
  <c r="BG26" i="70" a="1"/>
  <c r="P89" i="75" a="1"/>
  <c r="AK26" i="70" a="1"/>
  <c r="L27" i="70" a="1"/>
  <c r="AP27" i="70" a="1"/>
  <c r="P26" i="70" a="1"/>
  <c r="AC26" i="70" a="1"/>
  <c r="BR26" i="70" a="1"/>
  <c r="BM27" i="70" a="1"/>
  <c r="AE27" i="70" a="1"/>
  <c r="BU26" i="70" a="1"/>
  <c r="AK27" i="70" a="1"/>
  <c r="AZ26" i="70" a="1"/>
  <c r="AA27" i="70" a="1"/>
  <c r="F58" i="75" a="1"/>
  <c r="AP79" i="75" l="1"/>
  <c r="AE79" i="75"/>
  <c r="AG79" i="75"/>
  <c r="AK78" i="75"/>
  <c r="AL79" i="75"/>
  <c r="X78" i="75"/>
  <c r="AC78" i="75"/>
  <c r="AN77" i="75"/>
  <c r="AA78" i="75"/>
  <c r="AJ79" i="75"/>
  <c r="Y79" i="75"/>
  <c r="AO77" i="75"/>
  <c r="AI79" i="75"/>
  <c r="AC77" i="75"/>
  <c r="X77" i="75"/>
  <c r="AN78" i="75"/>
  <c r="P89" i="75"/>
  <c r="AI104" i="70"/>
  <c r="AI102" i="70"/>
  <c r="AB104" i="70"/>
  <c r="AT62" i="70"/>
  <c r="AD104" i="70"/>
  <c r="AK60" i="70"/>
  <c r="AE104" i="70"/>
  <c r="AP62" i="70"/>
  <c r="AP83" i="70"/>
  <c r="AE83" i="70"/>
  <c r="F98" i="75"/>
  <c r="N90" i="75" s="1"/>
  <c r="F99" i="75"/>
  <c r="N91" i="75" s="1"/>
  <c r="F58" i="75"/>
  <c r="F97" i="75" s="1"/>
  <c r="BE26" i="70"/>
  <c r="Z57" i="70" s="1"/>
  <c r="BI26" i="70"/>
  <c r="AH57" i="70" s="1"/>
  <c r="BN26" i="70"/>
  <c r="AF58" i="70" s="1"/>
  <c r="BS26" i="70"/>
  <c r="AD59" i="70" s="1"/>
  <c r="AZ26" i="70"/>
  <c r="AB56" i="70" s="1"/>
  <c r="BE27" i="70"/>
  <c r="AA57" i="70" s="1"/>
  <c r="BI27" i="70"/>
  <c r="AI57" i="70" s="1"/>
  <c r="BN27" i="70"/>
  <c r="AG58" i="70" s="1"/>
  <c r="BS27" i="70"/>
  <c r="AZ27" i="70"/>
  <c r="AC56" i="70" s="1"/>
  <c r="BA27" i="70"/>
  <c r="BF27" i="70"/>
  <c r="AC57" i="70" s="1"/>
  <c r="BG26" i="70"/>
  <c r="AD57" i="70" s="1"/>
  <c r="BL26" i="70"/>
  <c r="AB58" i="70" s="1"/>
  <c r="BQ26" i="70"/>
  <c r="Z59" i="70" s="1"/>
  <c r="BU26" i="70"/>
  <c r="AH59" i="70" s="1"/>
  <c r="BB26" i="70"/>
  <c r="AF56" i="70" s="1"/>
  <c r="BG27" i="70"/>
  <c r="AE57" i="70" s="1"/>
  <c r="BL27" i="70"/>
  <c r="AC58" i="70" s="1"/>
  <c r="BQ27" i="70"/>
  <c r="AA59" i="70" s="1"/>
  <c r="BU27" i="70"/>
  <c r="AI59" i="70" s="1"/>
  <c r="BB27" i="70"/>
  <c r="AG56" i="70" s="1"/>
  <c r="BK27" i="70"/>
  <c r="AA58" i="70" s="1"/>
  <c r="BF26" i="70"/>
  <c r="AB57" i="70" s="1"/>
  <c r="BK26" i="70"/>
  <c r="Z58" i="70" s="1"/>
  <c r="BO26" i="70"/>
  <c r="AH58" i="70" s="1"/>
  <c r="BT26" i="70"/>
  <c r="AF59" i="70" s="1"/>
  <c r="BA26" i="70"/>
  <c r="AD56" i="70" s="1"/>
  <c r="BT27" i="70"/>
  <c r="AG59" i="70" s="1"/>
  <c r="BH26" i="70"/>
  <c r="AF57" i="70" s="1"/>
  <c r="BM26" i="70"/>
  <c r="AD58" i="70" s="1"/>
  <c r="BR26" i="70"/>
  <c r="AB59" i="70" s="1"/>
  <c r="AY26" i="70"/>
  <c r="Z56" i="70" s="1"/>
  <c r="BC26" i="70"/>
  <c r="AH56" i="70" s="1"/>
  <c r="BH27" i="70"/>
  <c r="AG57" i="70" s="1"/>
  <c r="BM27" i="70"/>
  <c r="AE58" i="70" s="1"/>
  <c r="BR27" i="70"/>
  <c r="AC59" i="70" s="1"/>
  <c r="AY27" i="70"/>
  <c r="AA56" i="70" s="1"/>
  <c r="BC27" i="70"/>
  <c r="AI56" i="70" s="1"/>
  <c r="BO27" i="70"/>
  <c r="AI58" i="70" s="1"/>
  <c r="AS26" i="70"/>
  <c r="Z55" i="70" s="1"/>
  <c r="AW26" i="70"/>
  <c r="AH55" i="70" s="1"/>
  <c r="AJ26" i="70"/>
  <c r="AF53" i="70" s="1"/>
  <c r="AC26" i="70"/>
  <c r="AD52" i="70" s="1"/>
  <c r="AN26" i="70"/>
  <c r="AB54" i="70" s="1"/>
  <c r="AS27" i="70"/>
  <c r="AA55" i="70" s="1"/>
  <c r="AW27" i="70"/>
  <c r="AI55" i="70" s="1"/>
  <c r="AJ27" i="70"/>
  <c r="AG53" i="70" s="1"/>
  <c r="AC27" i="70"/>
  <c r="AE52" i="70" s="1"/>
  <c r="AN27" i="70"/>
  <c r="AC54" i="70" s="1"/>
  <c r="AO27" i="70"/>
  <c r="AE54" i="70" s="1"/>
  <c r="AK27" i="70"/>
  <c r="AI53" i="70" s="1"/>
  <c r="AU26" i="70"/>
  <c r="AD55" i="70" s="1"/>
  <c r="AH26" i="70"/>
  <c r="AB53" i="70" s="1"/>
  <c r="AA26" i="70"/>
  <c r="Z52" i="70" s="1"/>
  <c r="AE26" i="70"/>
  <c r="AH52" i="70" s="1"/>
  <c r="AP26" i="70"/>
  <c r="AF54" i="70" s="1"/>
  <c r="AU27" i="70"/>
  <c r="AE55" i="70" s="1"/>
  <c r="AH27" i="70"/>
  <c r="AC53" i="70" s="1"/>
  <c r="AA27" i="70"/>
  <c r="AA52" i="70" s="1"/>
  <c r="AE27" i="70"/>
  <c r="AI52" i="70" s="1"/>
  <c r="AP27" i="70"/>
  <c r="AG54" i="70" s="1"/>
  <c r="AT26" i="70"/>
  <c r="AB55" i="70" s="1"/>
  <c r="AG26" i="70"/>
  <c r="Z53" i="70" s="1"/>
  <c r="AK26" i="70"/>
  <c r="AH53" i="70" s="1"/>
  <c r="AD26" i="70"/>
  <c r="AF52" i="70" s="1"/>
  <c r="AO26" i="70"/>
  <c r="AD54" i="70" s="1"/>
  <c r="AD27" i="70"/>
  <c r="AG52" i="70" s="1"/>
  <c r="AG27" i="70"/>
  <c r="AA53" i="70" s="1"/>
  <c r="AV26" i="70"/>
  <c r="AF55" i="70" s="1"/>
  <c r="AI26" i="70"/>
  <c r="AD53" i="70" s="1"/>
  <c r="AB26" i="70"/>
  <c r="AB52" i="70" s="1"/>
  <c r="AM26" i="70"/>
  <c r="Z54" i="70" s="1"/>
  <c r="AQ26" i="70"/>
  <c r="AH54" i="70" s="1"/>
  <c r="AV27" i="70"/>
  <c r="AG55" i="70" s="1"/>
  <c r="AI27" i="70"/>
  <c r="AE53" i="70" s="1"/>
  <c r="AB27" i="70"/>
  <c r="AC52" i="70" s="1"/>
  <c r="AM27" i="70"/>
  <c r="AA54" i="70" s="1"/>
  <c r="AQ27" i="70"/>
  <c r="AI54" i="70" s="1"/>
  <c r="AT27" i="70"/>
  <c r="AC55" i="70" s="1"/>
  <c r="L26" i="70"/>
  <c r="AF49" i="70" s="1"/>
  <c r="K27" i="70"/>
  <c r="AE49" i="70" s="1"/>
  <c r="I26" i="70"/>
  <c r="Z49" i="70" s="1"/>
  <c r="M26" i="70"/>
  <c r="AH49" i="70" s="1"/>
  <c r="L27" i="70"/>
  <c r="AG49" i="70" s="1"/>
  <c r="J27" i="70"/>
  <c r="AC49" i="70" s="1"/>
  <c r="K26" i="70"/>
  <c r="AD49" i="70" s="1"/>
  <c r="J26" i="70"/>
  <c r="AB49" i="70" s="1"/>
  <c r="I27" i="70"/>
  <c r="AA49" i="70" s="1"/>
  <c r="M27" i="70"/>
  <c r="AI49" i="70" s="1"/>
  <c r="E26" i="70"/>
  <c r="AD48" i="70" s="1"/>
  <c r="D27" i="70"/>
  <c r="AC48" i="70" s="1"/>
  <c r="E27" i="70"/>
  <c r="AE48" i="70" s="1"/>
  <c r="C26" i="70"/>
  <c r="Z48" i="70" s="1"/>
  <c r="G26" i="70"/>
  <c r="AH48" i="70" s="1"/>
  <c r="F27" i="70"/>
  <c r="AG48" i="70" s="1"/>
  <c r="F26" i="70"/>
  <c r="AF48" i="70" s="1"/>
  <c r="D26" i="70"/>
  <c r="AB48" i="70" s="1"/>
  <c r="C27" i="70"/>
  <c r="AA48" i="70" s="1"/>
  <c r="G27" i="70"/>
  <c r="AI48" i="70" s="1"/>
  <c r="P27" i="70"/>
  <c r="AC50" i="70" s="1"/>
  <c r="Q26" i="70"/>
  <c r="AD50" i="70" s="1"/>
  <c r="R26" i="70"/>
  <c r="AF50" i="70" s="1"/>
  <c r="Q27" i="70"/>
  <c r="AE50" i="70" s="1"/>
  <c r="O26" i="70"/>
  <c r="Z50" i="70" s="1"/>
  <c r="S26" i="70"/>
  <c r="AH50" i="70" s="1"/>
  <c r="R27" i="70"/>
  <c r="AG50" i="70" s="1"/>
  <c r="P26" i="70"/>
  <c r="AB50" i="70" s="1"/>
  <c r="O27" i="70"/>
  <c r="AA50" i="70" s="1"/>
  <c r="S27" i="70"/>
  <c r="AI50" i="70" s="1"/>
  <c r="Y27" i="70"/>
  <c r="AI51" i="70" s="1"/>
  <c r="Y26" i="70"/>
  <c r="AH51" i="70" s="1"/>
  <c r="X27" i="70"/>
  <c r="AG51" i="70" s="1"/>
  <c r="X26" i="70"/>
  <c r="AF51" i="70" s="1"/>
  <c r="W27" i="70"/>
  <c r="AE51" i="70" s="1"/>
  <c r="W26" i="70"/>
  <c r="AD51" i="70" s="1"/>
  <c r="V27" i="70"/>
  <c r="AC51" i="70" s="1"/>
  <c r="V26" i="70"/>
  <c r="AB51" i="70" s="1"/>
  <c r="AA51" i="70"/>
  <c r="S74" i="70"/>
  <c r="M77" i="70"/>
  <c r="L77" i="70"/>
  <c r="M76" i="70"/>
  <c r="L76" i="70"/>
  <c r="P90" i="75" a="1"/>
  <c r="P91" i="75" a="1"/>
  <c r="B44" i="70" a="1"/>
  <c r="Z61" i="70" l="1"/>
  <c r="AB62" i="70"/>
  <c r="AH62" i="70"/>
  <c r="AE60" i="70"/>
  <c r="AG61" i="70"/>
  <c r="AH60" i="70"/>
  <c r="AC61" i="70"/>
  <c r="AI61" i="70"/>
  <c r="AH61" i="70"/>
  <c r="AC60" i="70"/>
  <c r="AB60" i="70"/>
  <c r="AF61" i="70"/>
  <c r="AC62" i="70"/>
  <c r="AI60" i="70"/>
  <c r="AD61" i="70"/>
  <c r="AF60" i="70"/>
  <c r="AE61" i="70"/>
  <c r="Z62" i="70"/>
  <c r="AF62" i="70"/>
  <c r="AD62" i="70"/>
  <c r="AG60" i="70"/>
  <c r="AB61" i="70"/>
  <c r="AI62" i="70"/>
  <c r="Z60" i="70"/>
  <c r="AA62" i="70"/>
  <c r="AG62" i="70"/>
  <c r="AA61" i="70"/>
  <c r="AA60" i="70"/>
  <c r="AD60" i="70"/>
  <c r="P91" i="75"/>
  <c r="P90" i="75"/>
  <c r="AE56" i="70"/>
  <c r="AE59" i="70"/>
  <c r="B69" i="70"/>
  <c r="Q75" i="70" s="1"/>
  <c r="G68" i="70"/>
  <c r="G69" i="70"/>
  <c r="D68" i="70"/>
  <c r="E68" i="70"/>
  <c r="F68" i="70"/>
  <c r="C68" i="70"/>
  <c r="C69" i="70"/>
  <c r="D69" i="70"/>
  <c r="E69" i="70"/>
  <c r="F69" i="70"/>
  <c r="B68" i="70"/>
  <c r="B44" i="70"/>
  <c r="S75" i="70" a="1"/>
  <c r="I44" i="70" a="1"/>
  <c r="S75" i="70" l="1"/>
  <c r="AE62" i="70"/>
  <c r="I44" i="70"/>
  <c r="I68" i="70" s="1"/>
  <c r="Q76" i="70" s="1"/>
  <c r="S76" i="70" a="1"/>
  <c r="S76" i="70" l="1"/>
  <c r="I67" i="70"/>
  <c r="I69" i="70"/>
  <c r="Q77" i="70" s="1"/>
  <c r="S77" i="70" a="1"/>
  <c r="S77" i="7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<sst xmlns="http://schemas.openxmlformats.org/spreadsheetml/2006/main" count="712" uniqueCount="190">
  <si>
    <t>Sheet</t>
  </si>
  <si>
    <t>Chart</t>
  </si>
  <si>
    <t>Boundary</t>
  </si>
  <si>
    <t>Axis</t>
  </si>
  <si>
    <t>Type</t>
  </si>
  <si>
    <t>Value</t>
  </si>
  <si>
    <t>Chart1</t>
  </si>
  <si>
    <t>Min</t>
  </si>
  <si>
    <t>X</t>
  </si>
  <si>
    <t>Primary</t>
  </si>
  <si>
    <t>Max</t>
  </si>
  <si>
    <t>Y</t>
  </si>
  <si>
    <t>bpp</t>
  </si>
  <si>
    <t>R1</t>
  </si>
  <si>
    <t>R2</t>
  </si>
  <si>
    <t>R3</t>
  </si>
  <si>
    <t>R4</t>
  </si>
  <si>
    <t>BD-Rate</t>
  </si>
  <si>
    <t>BD-PSNR</t>
  </si>
  <si>
    <t>soldier_vox10_0690</t>
  </si>
  <si>
    <t>boxer_viewdep_vox12</t>
  </si>
  <si>
    <t>Thaidancer_viewdep_vox12</t>
  </si>
  <si>
    <t>Source</t>
  </si>
  <si>
    <t>PC_Name</t>
  </si>
  <si>
    <t>Number of Points</t>
  </si>
  <si>
    <t>Geometry Precision</t>
  </si>
  <si>
    <t>MPEG</t>
  </si>
  <si>
    <t>JPEG</t>
  </si>
  <si>
    <t>Facade_00009_vox12</t>
  </si>
  <si>
    <t>House_without_roof_00057_vox12</t>
  </si>
  <si>
    <t>SaoPaulo</t>
  </si>
  <si>
    <t>CITIUSP_vox13</t>
  </si>
  <si>
    <t>Arco_Valentino_Dense_vox12</t>
  </si>
  <si>
    <t>Shiva_00035_vox12</t>
  </si>
  <si>
    <t>ULB_Unicorn_vox13_n</t>
  </si>
  <si>
    <t>SwissSurface3D</t>
  </si>
  <si>
    <t>EPFL_vox13</t>
  </si>
  <si>
    <t>Density Class</t>
  </si>
  <si>
    <t>solid</t>
  </si>
  <si>
    <t>dense</t>
  </si>
  <si>
    <t>sparse</t>
  </si>
  <si>
    <t>Peak Value</t>
  </si>
  <si>
    <t>Atrributes</t>
  </si>
  <si>
    <t>Density Factor</t>
  </si>
  <si>
    <t>Density Log Factor</t>
  </si>
  <si>
    <t>Homogeneity Class</t>
  </si>
  <si>
    <t>Homogeneity Factor</t>
  </si>
  <si>
    <t>Sparsity 5</t>
  </si>
  <si>
    <t>Sparsity 20</t>
  </si>
  <si>
    <t>Colour Gamut Volume</t>
  </si>
  <si>
    <t>Mean Curvature</t>
  </si>
  <si>
    <t>R,G,B</t>
  </si>
  <si>
    <t>3,28E-01</t>
  </si>
  <si>
    <t>-0,484</t>
  </si>
  <si>
    <t>homogeneous</t>
  </si>
  <si>
    <t>5,000</t>
  </si>
  <si>
    <t>1,18</t>
  </si>
  <si>
    <t>1,90</t>
  </si>
  <si>
    <t>22,29%</t>
  </si>
  <si>
    <t>6,721E-02</t>
  </si>
  <si>
    <t>1,11</t>
  </si>
  <si>
    <t>4,18E-01</t>
  </si>
  <si>
    <t>-0,379</t>
  </si>
  <si>
    <t>8,333</t>
  </si>
  <si>
    <t>1,12</t>
  </si>
  <si>
    <t>1,73</t>
  </si>
  <si>
    <t>1,18%</t>
  </si>
  <si>
    <t>1,253E-01</t>
  </si>
  <si>
    <t>6,897</t>
  </si>
  <si>
    <t>1,72</t>
  </si>
  <si>
    <t>21,22%</t>
  </si>
  <si>
    <t>1,245E-01</t>
  </si>
  <si>
    <t>10,345</t>
  </si>
  <si>
    <t>1,13</t>
  </si>
  <si>
    <t>41,05%</t>
  </si>
  <si>
    <t>1,368E-01</t>
  </si>
  <si>
    <t>1,39E-02</t>
  </si>
  <si>
    <t>-1,856</t>
  </si>
  <si>
    <t>heterogeneous</t>
  </si>
  <si>
    <t>13,208</t>
  </si>
  <si>
    <t>3,16</t>
  </si>
  <si>
    <t>5,28</t>
  </si>
  <si>
    <t>5,03%</t>
  </si>
  <si>
    <t>6,734E-02</t>
  </si>
  <si>
    <t>3,65E-02</t>
  </si>
  <si>
    <t>-1,438</t>
  </si>
  <si>
    <t>37,415</t>
  </si>
  <si>
    <t>2,32</t>
  </si>
  <si>
    <t>3,80</t>
  </si>
  <si>
    <t>12,93%</t>
  </si>
  <si>
    <t>8,035E-02</t>
  </si>
  <si>
    <t>4,85E-02</t>
  </si>
  <si>
    <t>-1,314</t>
  </si>
  <si>
    <t>11,111</t>
  </si>
  <si>
    <t>2,10</t>
  </si>
  <si>
    <t>3,52</t>
  </si>
  <si>
    <t>2,63%</t>
  </si>
  <si>
    <t>2,036E-02</t>
  </si>
  <si>
    <t>2,65E-02</t>
  </si>
  <si>
    <t>-1,576</t>
  </si>
  <si>
    <t>22,642</t>
  </si>
  <si>
    <t>3,03</t>
  </si>
  <si>
    <t>5,01</t>
  </si>
  <si>
    <t>29,27%</t>
  </si>
  <si>
    <t>7,804E-02</t>
  </si>
  <si>
    <t>4,13E-03</t>
  </si>
  <si>
    <t>-2,385</t>
  </si>
  <si>
    <t>7,066</t>
  </si>
  <si>
    <t>5,31</t>
  </si>
  <si>
    <t>8,67</t>
  </si>
  <si>
    <t>14,83%</t>
  </si>
  <si>
    <t>1,114E-01</t>
  </si>
  <si>
    <t>3,77E-03</t>
  </si>
  <si>
    <t>-2,424</t>
  </si>
  <si>
    <t>11,304</t>
  </si>
  <si>
    <t>5,12</t>
  </si>
  <si>
    <t>8,30</t>
  </si>
  <si>
    <t>19,37%</t>
  </si>
  <si>
    <t>9,568E-02</t>
  </si>
  <si>
    <t>5,22E-04</t>
  </si>
  <si>
    <t>-3,282</t>
  </si>
  <si>
    <t>12,500</t>
  </si>
  <si>
    <t>9,77</t>
  </si>
  <si>
    <t>18,13</t>
  </si>
  <si>
    <t>50,50%</t>
  </si>
  <si>
    <t>7,649E-03</t>
  </si>
  <si>
    <t>R,G,B+LAS</t>
  </si>
  <si>
    <t>-2,002</t>
  </si>
  <si>
    <t>17,390</t>
  </si>
  <si>
    <t>4,016</t>
  </si>
  <si>
    <t>6,919</t>
  </si>
  <si>
    <t>18,52%</t>
  </si>
  <si>
    <t>3,69E-02</t>
  </si>
  <si>
    <t>StMichael</t>
  </si>
  <si>
    <t>Bouquet</t>
  </si>
  <si>
    <t>SF</t>
  </si>
  <si>
    <t>SR</t>
  </si>
  <si>
    <t>PCQM</t>
  </si>
  <si>
    <t>Bjontegaard-Delta</t>
  </si>
  <si>
    <t>Select Point Cloud -&gt;</t>
  </si>
  <si>
    <t>PC Name</t>
  </si>
  <si>
    <t>D1</t>
  </si>
  <si>
    <t>D2</t>
  </si>
  <si>
    <t>YUV</t>
  </si>
  <si>
    <t>1-PCQM</t>
  </si>
  <si>
    <t>Average Solid</t>
  </si>
  <si>
    <t>Average Dense</t>
  </si>
  <si>
    <t>Average Sparse</t>
  </si>
  <si>
    <t>PSNR D1</t>
  </si>
  <si>
    <t>PSNR D2</t>
  </si>
  <si>
    <t>PSNR Y</t>
  </si>
  <si>
    <t>PSNR YUV</t>
  </si>
  <si>
    <t>G-PCC Octree v24</t>
  </si>
  <si>
    <t>V-PCC Intra v23</t>
  </si>
  <si>
    <t>G-PCC Octree PredLift v24</t>
  </si>
  <si>
    <t>JPEG PCC VM v4.1</t>
  </si>
  <si>
    <t>AvgSolid</t>
  </si>
  <si>
    <t>AvgDense</t>
  </si>
  <si>
    <t>AvgSparse</t>
  </si>
  <si>
    <t>Select Metric -&gt;</t>
  </si>
  <si>
    <t>PSNR_D1</t>
  </si>
  <si>
    <t>PSNR_D2</t>
  </si>
  <si>
    <t>Ref: G-PCC</t>
  </si>
  <si>
    <t>PSNR_Y</t>
  </si>
  <si>
    <t>PSNR_YUV</t>
  </si>
  <si>
    <t>Reference: G-PCC Octree PredLift v24</t>
  </si>
  <si>
    <t>JPEG PCC VM v4.1 (VVC)</t>
  </si>
  <si>
    <t>Reference: V-PCC Intra v23</t>
  </si>
  <si>
    <t>Category</t>
  </si>
  <si>
    <t>Solid</t>
  </si>
  <si>
    <t>Dense</t>
  </si>
  <si>
    <t>Sparse</t>
  </si>
  <si>
    <t>JPEG PCC VM v4.1 noSR</t>
  </si>
  <si>
    <t>Ref: VM</t>
  </si>
  <si>
    <t>Reference: JPEG PCC VM v4.1</t>
  </si>
  <si>
    <t>PCGCv2 [25]</t>
  </si>
  <si>
    <t>PCGFormer [26]</t>
  </si>
  <si>
    <t>GRASP-Net [27]</t>
  </si>
  <si>
    <t>BS = 128</t>
  </si>
  <si>
    <t>Common configs:</t>
  </si>
  <si>
    <t>QS = 1</t>
  </si>
  <si>
    <t>JPEG AI High Profile, Tools On</t>
  </si>
  <si>
    <t>GeoIdx</t>
  </si>
  <si>
    <t>ColorIdx</t>
  </si>
  <si>
    <t>Yes</t>
  </si>
  <si>
    <t>No</t>
  </si>
  <si>
    <t>VM vs:</t>
  </si>
  <si>
    <t>Reference:</t>
  </si>
  <si>
    <t>GeometryColor</t>
  </si>
  <si>
    <t>Geometry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</si>
</sst>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"/>
    <numFmt numFmtId="166" formatCode="0.0000"/>
    <numFmt numFmtId="167" formatCode="0.0"/>
    <numFmt numFmtId="168" formatCode="0.0E+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9EBF5"/>
        <bgColor indexed="64"/>
      </patternFill>
    </fill>
    <fill>
      <patternFill patternType="solid">
        <fgColor rgb="FFC5E0B4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4">
    <xf numFmtId="0" fontId="0" fillId="0" borderId="0" xfId="0"/>
    <xf numFmtId="2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1" xfId="0" applyBorder="1"/>
    <xf numFmtId="0" fontId="0" fillId="0" borderId="6" xfId="0" applyBorder="1"/>
    <xf numFmtId="10" fontId="0" fillId="0" borderId="0" xfId="1" applyNumberFormat="1" applyFont="1"/>
    <xf numFmtId="0" fontId="3" fillId="2" borderId="12" xfId="0" applyFont="1" applyFill="1" applyBorder="1" applyAlignment="1">
      <alignment horizontal="center" vertical="center" wrapText="1" readingOrder="1"/>
    </xf>
    <xf numFmtId="0" fontId="4" fillId="3" borderId="13" xfId="0" applyFont="1" applyFill="1" applyBorder="1" applyAlignment="1">
      <alignment horizontal="center" vertical="center" wrapText="1" readingOrder="1"/>
    </xf>
    <xf numFmtId="3" fontId="4" fillId="3" borderId="13" xfId="0" applyNumberFormat="1" applyFont="1" applyFill="1" applyBorder="1" applyAlignment="1">
      <alignment horizontal="center" vertical="center" wrapText="1" readingOrder="1"/>
    </xf>
    <xf numFmtId="0" fontId="4" fillId="3" borderId="14" xfId="0" applyFont="1" applyFill="1" applyBorder="1" applyAlignment="1">
      <alignment horizontal="center" vertical="center" wrapText="1" readingOrder="1"/>
    </xf>
    <xf numFmtId="3" fontId="4" fillId="3" borderId="14" xfId="0" applyNumberFormat="1" applyFont="1" applyFill="1" applyBorder="1" applyAlignment="1">
      <alignment horizontal="center" vertical="center" wrapText="1" readingOrder="1"/>
    </xf>
    <xf numFmtId="0" fontId="4" fillId="4" borderId="14" xfId="0" applyFont="1" applyFill="1" applyBorder="1" applyAlignment="1">
      <alignment horizontal="center" vertical="center" wrapText="1" readingOrder="1"/>
    </xf>
    <xf numFmtId="3" fontId="4" fillId="4" borderId="14" xfId="0" applyNumberFormat="1" applyFont="1" applyFill="1" applyBorder="1" applyAlignment="1">
      <alignment horizontal="center" vertical="center" wrapText="1" readingOrder="1"/>
    </xf>
    <xf numFmtId="0" fontId="4" fillId="5" borderId="14" xfId="0" applyFont="1" applyFill="1" applyBorder="1" applyAlignment="1">
      <alignment horizontal="center" vertical="center" wrapText="1" readingOrder="1"/>
    </xf>
    <xf numFmtId="3" fontId="4" fillId="5" borderId="14" xfId="0" applyNumberFormat="1" applyFont="1" applyFill="1" applyBorder="1" applyAlignment="1">
      <alignment horizontal="center" vertical="center" wrapText="1" readingOrder="1"/>
    </xf>
    <xf numFmtId="11" fontId="4" fillId="5" borderId="14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0" xfId="0" applyBorder="1" applyAlignment="1">
      <alignment horizontal="right"/>
    </xf>
    <xf numFmtId="0" fontId="5" fillId="0" borderId="0" xfId="0" applyFont="1"/>
    <xf numFmtId="0" fontId="0" fillId="0" borderId="1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/>
    <xf numFmtId="164" fontId="0" fillId="0" borderId="1" xfId="0" applyNumberFormat="1" applyBorder="1"/>
    <xf numFmtId="2" fontId="0" fillId="0" borderId="3" xfId="1" applyNumberFormat="1" applyFont="1" applyBorder="1"/>
    <xf numFmtId="164" fontId="0" fillId="0" borderId="2" xfId="0" applyNumberFormat="1" applyBorder="1"/>
    <xf numFmtId="2" fontId="0" fillId="0" borderId="2" xfId="1" applyNumberFormat="1" applyFont="1" applyBorder="1"/>
    <xf numFmtId="164" fontId="0" fillId="0" borderId="4" xfId="0" applyNumberFormat="1" applyBorder="1"/>
    <xf numFmtId="2" fontId="0" fillId="0" borderId="5" xfId="1" applyNumberFormat="1" applyFont="1" applyBorder="1"/>
    <xf numFmtId="2" fontId="0" fillId="0" borderId="0" xfId="1" applyNumberFormat="1" applyFont="1" applyBorder="1"/>
    <xf numFmtId="164" fontId="0" fillId="0" borderId="6" xfId="0" applyNumberFormat="1" applyBorder="1"/>
    <xf numFmtId="2" fontId="0" fillId="0" borderId="8" xfId="0" applyNumberFormat="1" applyBorder="1"/>
    <xf numFmtId="164" fontId="0" fillId="0" borderId="0" xfId="0" applyNumberFormat="1"/>
    <xf numFmtId="0" fontId="0" fillId="0" borderId="10" xfId="0" applyBorder="1"/>
    <xf numFmtId="2" fontId="0" fillId="0" borderId="7" xfId="0" applyNumberFormat="1" applyBorder="1"/>
    <xf numFmtId="2" fontId="0" fillId="0" borderId="5" xfId="0" applyNumberFormat="1" applyBorder="1"/>
    <xf numFmtId="0" fontId="4" fillId="0" borderId="18" xfId="0" applyFont="1" applyBorder="1" applyAlignment="1">
      <alignment horizontal="center" vertical="center" wrapText="1" readingOrder="1"/>
    </xf>
    <xf numFmtId="0" fontId="0" fillId="6" borderId="0" xfId="0" applyFill="1"/>
    <xf numFmtId="164" fontId="0" fillId="0" borderId="7" xfId="0" applyNumberFormat="1" applyBorder="1"/>
    <xf numFmtId="165" fontId="0" fillId="0" borderId="3" xfId="1" applyNumberFormat="1" applyFont="1" applyBorder="1"/>
    <xf numFmtId="165" fontId="0" fillId="0" borderId="5" xfId="1" applyNumberFormat="1" applyFont="1" applyBorder="1"/>
    <xf numFmtId="165" fontId="0" fillId="0" borderId="5" xfId="0" applyNumberFormat="1" applyBorder="1"/>
    <xf numFmtId="165" fontId="0" fillId="0" borderId="8" xfId="0" applyNumberFormat="1" applyBorder="1"/>
    <xf numFmtId="0" fontId="0" fillId="0" borderId="0" xfId="0" applyAlignment="1">
      <alignment horizontal="center" vertical="center"/>
    </xf>
    <xf numFmtId="166" fontId="0" fillId="0" borderId="1" xfId="0" applyNumberFormat="1" applyBorder="1"/>
    <xf numFmtId="166" fontId="0" fillId="0" borderId="2" xfId="0" applyNumberFormat="1" applyBorder="1"/>
    <xf numFmtId="166" fontId="0" fillId="0" borderId="4" xfId="0" applyNumberFormat="1" applyBorder="1"/>
    <xf numFmtId="166" fontId="0" fillId="0" borderId="0" xfId="0" applyNumberFormat="1"/>
    <xf numFmtId="166" fontId="0" fillId="0" borderId="6" xfId="0" applyNumberFormat="1" applyBorder="1"/>
    <xf numFmtId="166" fontId="0" fillId="0" borderId="7" xfId="0" applyNumberFormat="1" applyBorder="1"/>
    <xf numFmtId="0" fontId="0" fillId="0" borderId="15" xfId="0" applyBorder="1"/>
    <xf numFmtId="0" fontId="0" fillId="0" borderId="19" xfId="0" applyBorder="1" applyAlignment="1">
      <alignment horizontal="center" vertical="center"/>
    </xf>
    <xf numFmtId="2" fontId="0" fillId="0" borderId="2" xfId="0" applyNumberFormat="1" applyBorder="1"/>
    <xf numFmtId="2" fontId="0" fillId="0" borderId="3" xfId="0" applyNumberFormat="1" applyBorder="1"/>
    <xf numFmtId="165" fontId="0" fillId="0" borderId="3" xfId="0" applyNumberFormat="1" applyBorder="1"/>
    <xf numFmtId="166" fontId="0" fillId="0" borderId="3" xfId="0" applyNumberFormat="1" applyBorder="1"/>
    <xf numFmtId="166" fontId="0" fillId="0" borderId="5" xfId="0" applyNumberFormat="1" applyBorder="1"/>
    <xf numFmtId="166" fontId="0" fillId="0" borderId="8" xfId="0" applyNumberFormat="1" applyBorder="1"/>
    <xf numFmtId="0" fontId="1" fillId="0" borderId="6" xfId="0" applyFont="1" applyBorder="1" applyAlignment="1">
      <alignment horizontal="center"/>
    </xf>
    <xf numFmtId="9" fontId="0" fillId="0" borderId="1" xfId="0" applyNumberFormat="1" applyBorder="1"/>
    <xf numFmtId="9" fontId="0" fillId="0" borderId="4" xfId="0" applyNumberFormat="1" applyBorder="1"/>
    <xf numFmtId="9" fontId="0" fillId="0" borderId="6" xfId="0" applyNumberFormat="1" applyBorder="1"/>
    <xf numFmtId="167" fontId="0" fillId="0" borderId="2" xfId="1" applyNumberFormat="1" applyFont="1" applyBorder="1"/>
    <xf numFmtId="167" fontId="0" fillId="0" borderId="0" xfId="1" applyNumberFormat="1" applyFont="1" applyBorder="1"/>
    <xf numFmtId="167" fontId="0" fillId="0" borderId="0" xfId="0" applyNumberFormat="1"/>
    <xf numFmtId="167" fontId="0" fillId="0" borderId="2" xfId="0" applyNumberFormat="1" applyBorder="1"/>
    <xf numFmtId="167" fontId="0" fillId="0" borderId="7" xfId="0" applyNumberFormat="1" applyBorder="1"/>
    <xf numFmtId="167" fontId="0" fillId="0" borderId="3" xfId="1" applyNumberFormat="1" applyFont="1" applyBorder="1"/>
    <xf numFmtId="167" fontId="0" fillId="0" borderId="5" xfId="1" applyNumberFormat="1" applyFont="1" applyBorder="1"/>
    <xf numFmtId="167" fontId="0" fillId="0" borderId="5" xfId="0" applyNumberFormat="1" applyBorder="1"/>
    <xf numFmtId="167" fontId="0" fillId="0" borderId="3" xfId="0" applyNumberFormat="1" applyBorder="1"/>
    <xf numFmtId="167" fontId="0" fillId="0" borderId="8" xfId="0" applyNumberFormat="1" applyBorder="1"/>
    <xf numFmtId="0" fontId="0" fillId="0" borderId="0" xfId="0" applyAlignment="1">
      <alignment horizontal="left" vertical="center"/>
    </xf>
    <xf numFmtId="9" fontId="0" fillId="0" borderId="2" xfId="0" applyNumberFormat="1" applyBorder="1"/>
    <xf numFmtId="9" fontId="0" fillId="0" borderId="0" xfId="0" applyNumberFormat="1"/>
    <xf numFmtId="9" fontId="0" fillId="0" borderId="7" xfId="0" applyNumberFormat="1" applyBorder="1"/>
    <xf numFmtId="168" fontId="0" fillId="0" borderId="3" xfId="1" applyNumberFormat="1" applyFont="1" applyBorder="1"/>
    <xf numFmtId="168" fontId="0" fillId="0" borderId="5" xfId="1" applyNumberFormat="1" applyFont="1" applyBorder="1"/>
    <xf numFmtId="168" fontId="0" fillId="0" borderId="8" xfId="0" applyNumberFormat="1" applyBorder="1"/>
    <xf numFmtId="168" fontId="0" fillId="0" borderId="3" xfId="0" applyNumberFormat="1" applyBorder="1"/>
    <xf numFmtId="168" fontId="0" fillId="0" borderId="5" xfId="0" applyNumberFormat="1" applyBorder="1"/>
    <xf numFmtId="168" fontId="0" fillId="0" borderId="7" xfId="0" applyNumberForma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2">
    <cellStyle name="Normal" xfId="0" builtinId="0"/>
    <cellStyle name="Percentagem" xfId="1" builtinId="5"/>
  </cellStyles>
  <dxfs count="2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CC"/>
      <color rgb="FF66FFFF"/>
      <color rgb="FFF8696B"/>
      <color rgb="FF63BE7B"/>
      <color rgb="FF9E480E"/>
      <color rgb="FFFE3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026157407407415E-2"/>
          <c:y val="1.9376388888888887E-2"/>
          <c:w val="0.86859282407407412"/>
          <c:h val="0.877618611111111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Geometry!$A$67</c:f>
              <c:strCache>
                <c:ptCount val="1"/>
                <c:pt idx="0">
                  <c:v>G-PCC Octree v24</c:v>
                </c:pt>
              </c:strCache>
            </c:strRef>
          </c:tx>
          <c:spPr>
            <a:ln w="19050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Geometry!$B$67:$B$72</c:f>
              <c:numCache>
                <c:formatCode>General</c:formatCode>
                <c:ptCount val="6"/>
                <c:pt idx="0">
                  <c:v>1.6074999999999999E-2</c:v>
                </c:pt>
                <c:pt idx="1">
                  <c:v>5.2525000000000002E-2</c:v>
                </c:pt>
                <c:pt idx="2">
                  <c:v>0.17804999999999999</c:v>
                </c:pt>
                <c:pt idx="3">
                  <c:v>0.43230000000000002</c:v>
                </c:pt>
                <c:pt idx="4">
                  <c:v>0.61685000000000001</c:v>
                </c:pt>
                <c:pt idx="5">
                  <c:v>0.78244999999999987</c:v>
                </c:pt>
              </c:numCache>
            </c:numRef>
          </c:xVal>
          <c:yVal>
            <c:numRef>
              <c:f>Geometry!$F$67:$F$72</c:f>
              <c:numCache>
                <c:formatCode>General</c:formatCode>
                <c:ptCount val="6"/>
                <c:pt idx="0">
                  <c:v>52.831650000000003</c:v>
                </c:pt>
                <c:pt idx="1">
                  <c:v>58.555074999999995</c:v>
                </c:pt>
                <c:pt idx="2">
                  <c:v>63.616675000000001</c:v>
                </c:pt>
                <c:pt idx="3">
                  <c:v>68.606575000000007</c:v>
                </c:pt>
                <c:pt idx="4">
                  <c:v>71.085250000000002</c:v>
                </c:pt>
                <c:pt idx="5">
                  <c:v>72.801800000000014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07-44E5-BB89-B1DB136BC10C}"/>
            </c:ext>
          </c:extLst>
        </c:ser>
        <c:ser>
          <c:idx val="4"/>
          <c:order val="1"/>
          <c:tx>
            <c:strRef>
              <c:f>Geometry!$A$73</c:f>
              <c:strCache>
                <c:ptCount val="1"/>
                <c:pt idx="0">
                  <c:v>V-PCC Intra v23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Geometry!$B$73:$B$78</c:f>
              <c:numCache>
                <c:formatCode>General</c:formatCode>
                <c:ptCount val="6"/>
                <c:pt idx="0">
                  <c:v>3.2461274999999998E-2</c:v>
                </c:pt>
                <c:pt idx="1">
                  <c:v>4.3878575000000003E-2</c:v>
                </c:pt>
                <c:pt idx="2">
                  <c:v>0.12012895000000001</c:v>
                </c:pt>
                <c:pt idx="3">
                  <c:v>0.29096650000000002</c:v>
                </c:pt>
                <c:pt idx="4">
                  <c:v>0.48482724999999999</c:v>
                </c:pt>
                <c:pt idx="5">
                  <c:v>0.79186250000000002</c:v>
                </c:pt>
              </c:numCache>
            </c:numRef>
          </c:xVal>
          <c:yVal>
            <c:numRef>
              <c:f>Geometry!$F$73:$F$78</c:f>
              <c:numCache>
                <c:formatCode>General</c:formatCode>
                <c:ptCount val="6"/>
                <c:pt idx="0">
                  <c:v>58.495474999999999</c:v>
                </c:pt>
                <c:pt idx="1">
                  <c:v>62.713875000000002</c:v>
                </c:pt>
                <c:pt idx="2">
                  <c:v>69.837549999999993</c:v>
                </c:pt>
                <c:pt idx="3">
                  <c:v>72.821874999999991</c:v>
                </c:pt>
                <c:pt idx="4">
                  <c:v>74.231875000000002</c:v>
                </c:pt>
                <c:pt idx="5">
                  <c:v>74.885824999999997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07-44E5-BB89-B1DB136BC10C}"/>
            </c:ext>
          </c:extLst>
        </c:ser>
        <c:ser>
          <c:idx val="1"/>
          <c:order val="2"/>
          <c:tx>
            <c:strRef>
              <c:f>Geometry!$A$79</c:f>
              <c:strCache>
                <c:ptCount val="1"/>
                <c:pt idx="0">
                  <c:v>PCGCv2 [25]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Geometry!$B$79:$B$85</c:f>
              <c:numCache>
                <c:formatCode>General</c:formatCode>
                <c:ptCount val="7"/>
                <c:pt idx="0">
                  <c:v>2.375E-2</c:v>
                </c:pt>
                <c:pt idx="1">
                  <c:v>4.8500000000000001E-2</c:v>
                </c:pt>
                <c:pt idx="2">
                  <c:v>9.5000000000000001E-2</c:v>
                </c:pt>
                <c:pt idx="3">
                  <c:v>0.158</c:v>
                </c:pt>
                <c:pt idx="4">
                  <c:v>0.25724999999999998</c:v>
                </c:pt>
                <c:pt idx="5">
                  <c:v>0.32650000000000001</c:v>
                </c:pt>
                <c:pt idx="6">
                  <c:v>0.41274999999999995</c:v>
                </c:pt>
              </c:numCache>
            </c:numRef>
          </c:xVal>
          <c:yVal>
            <c:numRef>
              <c:f>Geometry!$F$79:$F$85</c:f>
              <c:numCache>
                <c:formatCode>General</c:formatCode>
                <c:ptCount val="7"/>
                <c:pt idx="0">
                  <c:v>63.435699999999997</c:v>
                </c:pt>
                <c:pt idx="1">
                  <c:v>67.764724999999999</c:v>
                </c:pt>
                <c:pt idx="2">
                  <c:v>71.350700000000003</c:v>
                </c:pt>
                <c:pt idx="3">
                  <c:v>73.127424999999988</c:v>
                </c:pt>
                <c:pt idx="4">
                  <c:v>75.115774999999999</c:v>
                </c:pt>
                <c:pt idx="5">
                  <c:v>75.801925000000011</c:v>
                </c:pt>
                <c:pt idx="6">
                  <c:v>76.321475000000007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B6-4B03-9346-DF27AF8BFA20}"/>
            </c:ext>
          </c:extLst>
        </c:ser>
        <c:ser>
          <c:idx val="2"/>
          <c:order val="3"/>
          <c:tx>
            <c:strRef>
              <c:f>Geometry!$A$86</c:f>
              <c:strCache>
                <c:ptCount val="1"/>
                <c:pt idx="0">
                  <c:v>PCGFormer [26]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Geometry!$B$86:$B$89</c:f>
              <c:numCache>
                <c:formatCode>General</c:formatCode>
                <c:ptCount val="4"/>
                <c:pt idx="0">
                  <c:v>4.8500000000000001E-2</c:v>
                </c:pt>
                <c:pt idx="1">
                  <c:v>0.26249999999999996</c:v>
                </c:pt>
                <c:pt idx="2">
                  <c:v>0.61699999999999999</c:v>
                </c:pt>
                <c:pt idx="3">
                  <c:v>0.7400000000000001</c:v>
                </c:pt>
              </c:numCache>
            </c:numRef>
          </c:xVal>
          <c:yVal>
            <c:numRef>
              <c:f>Geometry!$F$86:$F$89</c:f>
              <c:numCache>
                <c:formatCode>General</c:formatCode>
                <c:ptCount val="4"/>
                <c:pt idx="0">
                  <c:v>68.977599999999995</c:v>
                </c:pt>
                <c:pt idx="1">
                  <c:v>75.124875000000003</c:v>
                </c:pt>
                <c:pt idx="2">
                  <c:v>76.716374999999999</c:v>
                </c:pt>
                <c:pt idx="3">
                  <c:v>77.523899999999998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B6-4B03-9346-DF27AF8BFA20}"/>
            </c:ext>
          </c:extLst>
        </c:ser>
        <c:ser>
          <c:idx val="3"/>
          <c:order val="4"/>
          <c:tx>
            <c:strRef>
              <c:f>Geometry!$A$90</c:f>
              <c:strCache>
                <c:ptCount val="1"/>
                <c:pt idx="0">
                  <c:v>GRASP-Net [27]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Geometry!$B$90:$B$94</c:f>
              <c:numCache>
                <c:formatCode>General</c:formatCode>
                <c:ptCount val="5"/>
                <c:pt idx="0">
                  <c:v>2.0250520949972376E-2</c:v>
                </c:pt>
                <c:pt idx="1">
                  <c:v>4.1824971562592246E-2</c:v>
                </c:pt>
                <c:pt idx="2">
                  <c:v>9.9991039730953593E-2</c:v>
                </c:pt>
                <c:pt idx="3">
                  <c:v>0.22911841258157425</c:v>
                </c:pt>
                <c:pt idx="4">
                  <c:v>0.36376772598353951</c:v>
                </c:pt>
              </c:numCache>
            </c:numRef>
          </c:xVal>
          <c:yVal>
            <c:numRef>
              <c:f>Geometry!$F$90:$F$93</c:f>
              <c:numCache>
                <c:formatCode>General</c:formatCode>
                <c:ptCount val="4"/>
                <c:pt idx="0">
                  <c:v>63.249600000000001</c:v>
                </c:pt>
                <c:pt idx="1">
                  <c:v>67.633700000000005</c:v>
                </c:pt>
                <c:pt idx="2">
                  <c:v>70.275925000000001</c:v>
                </c:pt>
                <c:pt idx="3">
                  <c:v>73.360200000000006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B6-4B03-9346-DF27AF8BFA20}"/>
            </c:ext>
          </c:extLst>
        </c:ser>
        <c:ser>
          <c:idx val="6"/>
          <c:order val="5"/>
          <c:tx>
            <c:strRef>
              <c:f>Geometry!$A$59</c:f>
              <c:strCache>
                <c:ptCount val="1"/>
                <c:pt idx="0">
                  <c:v>JPEG PCC VM v4.1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Geometry!$B$59:$B$62</c:f>
              <c:numCache>
                <c:formatCode>General</c:formatCode>
                <c:ptCount val="4"/>
                <c:pt idx="0">
                  <c:v>2.9205250000000002E-2</c:v>
                </c:pt>
                <c:pt idx="1">
                  <c:v>0.14413185000000001</c:v>
                </c:pt>
                <c:pt idx="2">
                  <c:v>0.34608699999999998</c:v>
                </c:pt>
                <c:pt idx="3">
                  <c:v>0.65236300000000003</c:v>
                </c:pt>
              </c:numCache>
            </c:numRef>
          </c:xVal>
          <c:yVal>
            <c:numRef>
              <c:f>Geometry!$F$59:$F$62</c:f>
              <c:numCache>
                <c:formatCode>General</c:formatCode>
                <c:ptCount val="4"/>
                <c:pt idx="0">
                  <c:v>65.146924999999996</c:v>
                </c:pt>
                <c:pt idx="1">
                  <c:v>73.021850000000001</c:v>
                </c:pt>
                <c:pt idx="2">
                  <c:v>76.635199999999998</c:v>
                </c:pt>
                <c:pt idx="3">
                  <c:v>78.437150000000003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07-44E5-BB89-B1DB136BC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850207"/>
        <c:axId val="2053461423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6"/>
                <c:tx>
                  <c:strRef>
                    <c:extLst>
                      <c:ext uri="{02D57815-91ED-43cb-92C2-25804820EDAC}">
                        <c15:formulaRef>
                          <c15:sqref>Geometry!$A$63</c15:sqref>
                        </c15:formulaRef>
                      </c:ext>
                    </c:extLst>
                    <c:strCache>
                      <c:ptCount val="1"/>
                      <c:pt idx="0">
                        <c:v>JPEG PCC VM v4.1 noSR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C00000"/>
                    </a:solidFill>
                    <a:ln w="9525">
                      <a:solidFill>
                        <a:srgbClr val="C00000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Geometry!$B$63:$B$66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2.9014175E-2</c:v>
                      </c:pt>
                      <c:pt idx="1">
                        <c:v>0.14371234999999999</c:v>
                      </c:pt>
                      <c:pt idx="2">
                        <c:v>0.34608699999999998</c:v>
                      </c:pt>
                      <c:pt idx="3">
                        <c:v>0.65236300000000003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Geometry!$F$63:$F$66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60.270499999999998</c:v>
                      </c:pt>
                      <c:pt idx="1">
                        <c:v>68.166499999999999</c:v>
                      </c:pt>
                      <c:pt idx="2">
                        <c:v>76.635199999999998</c:v>
                      </c:pt>
                      <c:pt idx="3">
                        <c:v>78.437150000000003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14B-4A1F-9D26-05203C6C981A}"/>
                  </c:ext>
                </c:extLst>
              </c15:ser>
            </c15:filteredScatterSeries>
          </c:ext>
        </c:extLst>
      </c:scatterChart>
      <c:valAx>
        <c:axId val="1957850207"/>
        <c:scaling>
          <c:orientation val="minMax"/>
          <c:max val="0.7999999999999999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Geometry Rate (bpp)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61423"/>
        <c:crosses val="autoZero"/>
        <c:crossBetween val="midCat"/>
        <c:majorUnit val="0.1"/>
        <c:minorUnit val="2.5000000000000005E-2"/>
      </c:valAx>
      <c:valAx>
        <c:axId val="2053461423"/>
        <c:scaling>
          <c:orientation val="minMax"/>
          <c:max val="78.5"/>
          <c:min val="5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Geometry!$F$97</c:f>
              <c:strCache>
                <c:ptCount val="1"/>
                <c:pt idx="0">
                  <c:v>PSNR D1 (dB)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850207"/>
        <c:crosses val="autoZero"/>
        <c:crossBetween val="midCat"/>
        <c:majorUnit val="2"/>
        <c:minorUnit val="1"/>
      </c:valAx>
      <c:spPr>
        <a:noFill/>
        <a:ln>
          <a:noFill/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4384117505957073"/>
          <c:y val="0.54068857435707918"/>
          <c:w val="0.3150866273238126"/>
          <c:h val="0.3414840517237737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49178200692041E-2"/>
          <c:y val="1.9138822932894629E-2"/>
          <c:w val="0.86481857939254136"/>
          <c:h val="0.87909313725490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GeometryColor!$A$53</c:f>
              <c:strCache>
                <c:ptCount val="1"/>
                <c:pt idx="0">
                  <c:v>G-PCC Octree PredLift v24</c:v>
                </c:pt>
              </c:strCache>
            </c:strRef>
          </c:tx>
          <c:spPr>
            <a:ln w="19050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GeometryColor!$B$53:$B$58</c:f>
              <c:numCache>
                <c:formatCode>General</c:formatCode>
                <c:ptCount val="6"/>
                <c:pt idx="0">
                  <c:v>2.0615999999999999E-2</c:v>
                </c:pt>
                <c:pt idx="1">
                  <c:v>7.6858999999999997E-2</c:v>
                </c:pt>
                <c:pt idx="2">
                  <c:v>0.345613</c:v>
                </c:pt>
                <c:pt idx="3">
                  <c:v>1.05379</c:v>
                </c:pt>
                <c:pt idx="4">
                  <c:v>2.0350519999999999</c:v>
                </c:pt>
                <c:pt idx="5">
                  <c:v>3.2983039999999999</c:v>
                </c:pt>
              </c:numCache>
            </c:numRef>
          </c:xVal>
          <c:yVal>
            <c:numRef>
              <c:f>GeometryColor!$I$53:$I$58</c:f>
              <c:numCache>
                <c:formatCode>General</c:formatCode>
                <c:ptCount val="6"/>
                <c:pt idx="0">
                  <c:v>18.104099999999999</c:v>
                </c:pt>
                <c:pt idx="1">
                  <c:v>20.9436</c:v>
                </c:pt>
                <c:pt idx="2">
                  <c:v>24.691700000000001</c:v>
                </c:pt>
                <c:pt idx="3">
                  <c:v>28.13</c:v>
                </c:pt>
                <c:pt idx="4">
                  <c:v>31.476500000000001</c:v>
                </c:pt>
                <c:pt idx="5">
                  <c:v>34.575099999999999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13-466C-964B-88D1D994CAE9}"/>
            </c:ext>
          </c:extLst>
        </c:ser>
        <c:ser>
          <c:idx val="4"/>
          <c:order val="1"/>
          <c:tx>
            <c:strRef>
              <c:f>GeometryColor!$A$59</c:f>
              <c:strCache>
                <c:ptCount val="1"/>
                <c:pt idx="0">
                  <c:v>V-PCC Intra v23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GeometryColor!$B$59:$B$64</c:f>
              <c:numCache>
                <c:formatCode>General</c:formatCode>
                <c:ptCount val="6"/>
                <c:pt idx="0">
                  <c:v>5.8663E-2</c:v>
                </c:pt>
                <c:pt idx="1">
                  <c:v>6.9492999999999999E-2</c:v>
                </c:pt>
                <c:pt idx="2">
                  <c:v>0.322876</c:v>
                </c:pt>
                <c:pt idx="3">
                  <c:v>0.95499999999999996</c:v>
                </c:pt>
                <c:pt idx="4">
                  <c:v>2.1757140000000001</c:v>
                </c:pt>
                <c:pt idx="5">
                  <c:v>3.051501</c:v>
                </c:pt>
              </c:numCache>
            </c:numRef>
          </c:xVal>
          <c:yVal>
            <c:numRef>
              <c:f>GeometryColor!$I$59:$I$64</c:f>
              <c:numCache>
                <c:formatCode>General</c:formatCode>
                <c:ptCount val="6"/>
                <c:pt idx="0">
                  <c:v>20.9953</c:v>
                </c:pt>
                <c:pt idx="1">
                  <c:v>22.304099999999998</c:v>
                </c:pt>
                <c:pt idx="2">
                  <c:v>26.365400000000001</c:v>
                </c:pt>
                <c:pt idx="3">
                  <c:v>29.175899999999999</c:v>
                </c:pt>
                <c:pt idx="4">
                  <c:v>32.224899999999998</c:v>
                </c:pt>
                <c:pt idx="5">
                  <c:v>32.748100000000001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69-4A10-A59F-5A1DB0AED763}"/>
            </c:ext>
          </c:extLst>
        </c:ser>
        <c:ser>
          <c:idx val="6"/>
          <c:order val="2"/>
          <c:tx>
            <c:strRef>
              <c:f>GeometryColor!$A$45</c:f>
              <c:strCache>
                <c:ptCount val="1"/>
                <c:pt idx="0">
                  <c:v>JPEG PCC VM v4.1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GeometryColor!$B$45:$B$48</c:f>
              <c:numCache>
                <c:formatCode>General</c:formatCode>
                <c:ptCount val="4"/>
                <c:pt idx="0">
                  <c:v>4.8615899999999997E-2</c:v>
                </c:pt>
                <c:pt idx="1">
                  <c:v>0.36790899999999999</c:v>
                </c:pt>
                <c:pt idx="2">
                  <c:v>1.1830400000000001</c:v>
                </c:pt>
                <c:pt idx="3">
                  <c:v>3.2754699999999999</c:v>
                </c:pt>
              </c:numCache>
            </c:numRef>
          </c:xVal>
          <c:yVal>
            <c:numRef>
              <c:f>GeometryColor!$I$45:$I$48</c:f>
              <c:numCache>
                <c:formatCode>General</c:formatCode>
                <c:ptCount val="4"/>
                <c:pt idx="0">
                  <c:v>20.539899999999999</c:v>
                </c:pt>
                <c:pt idx="1">
                  <c:v>24.646000000000001</c:v>
                </c:pt>
                <c:pt idx="2">
                  <c:v>28.640899999999998</c:v>
                </c:pt>
                <c:pt idx="3">
                  <c:v>30.98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FA69-4A10-A59F-5A1DB0AED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850207"/>
        <c:axId val="205346142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3"/>
                <c:tx>
                  <c:strRef>
                    <c:extLst>
                      <c:ext uri="{02D57815-91ED-43cb-92C2-25804820EDAC}">
                        <c15:formulaRef>
                          <c15:sqref>GeometryColor!$A$49</c15:sqref>
                        </c15:formulaRef>
                      </c:ext>
                    </c:extLst>
                    <c:strCache>
                      <c:ptCount val="1"/>
                      <c:pt idx="0">
                        <c:v>JPEG PCC VM v4.1 (VVC)</c:v>
                      </c:pt>
                    </c:strCache>
                  </c:strRef>
                </c:tx>
                <c:spPr>
                  <a:ln w="19050" cap="rnd">
                    <a:solidFill>
                      <a:srgbClr val="FF33CC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33CC"/>
                    </a:solidFill>
                    <a:ln w="9525">
                      <a:solidFill>
                        <a:srgbClr val="FF33CC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GeometryColor!$B$49:$B$52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4.9616300000000002E-2</c:v>
                      </c:pt>
                      <c:pt idx="1">
                        <c:v>0.31177700000000003</c:v>
                      </c:pt>
                      <c:pt idx="2">
                        <c:v>0.94779000000000002</c:v>
                      </c:pt>
                      <c:pt idx="3">
                        <c:v>2.9091999999999998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GeometryColor!$I$49:$I$52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20.821000000000002</c:v>
                      </c:pt>
                      <c:pt idx="1">
                        <c:v>24.7498</c:v>
                      </c:pt>
                      <c:pt idx="2">
                        <c:v>28.931899999999999</c:v>
                      </c:pt>
                      <c:pt idx="3">
                        <c:v>32.008499999999998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F4A7-4F94-B3B2-22B4A9821DC8}"/>
                  </c:ext>
                </c:extLst>
              </c15:ser>
            </c15:filteredScatterSeries>
          </c:ext>
        </c:extLst>
      </c:scatterChart>
      <c:valAx>
        <c:axId val="1957850207"/>
        <c:scaling>
          <c:orientation val="minMax"/>
          <c:max val="3.300000000000000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Total Rate (bpp)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461423"/>
        <c:crosses val="autoZero"/>
        <c:crossBetween val="midCat"/>
        <c:majorUnit val="0.5"/>
        <c:minorUnit val="0.1"/>
      </c:valAx>
      <c:valAx>
        <c:axId val="2053461423"/>
        <c:scaling>
          <c:orientation val="minMax"/>
          <c:max val="34.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GeometryColor!$I$67</c:f>
              <c:strCache>
                <c:ptCount val="1"/>
                <c:pt idx="0">
                  <c:v>PSNR Y (dB)</c:v>
                </c:pt>
              </c:strCache>
            </c:strRef>
          </c:tx>
          <c:layout>
            <c:manualLayout>
              <c:xMode val="edge"/>
              <c:yMode val="edge"/>
              <c:x val="0"/>
              <c:y val="0.365657679738562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850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585268103924825"/>
          <c:y val="0.64261719630380887"/>
          <c:w val="0.39094688594066695"/>
          <c:h val="0.244289497408158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9308</xdr:colOff>
      <xdr:row>58</xdr:row>
      <xdr:rowOff>53814</xdr:rowOff>
    </xdr:from>
    <xdr:to>
      <xdr:col>14</xdr:col>
      <xdr:colOff>608955</xdr:colOff>
      <xdr:row>77</xdr:row>
      <xdr:rowOff>105285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1A5FFD0-840C-4DF6-9702-CA317564A2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9308</xdr:colOff>
      <xdr:row>44</xdr:row>
      <xdr:rowOff>53814</xdr:rowOff>
    </xdr:from>
    <xdr:to>
      <xdr:col>18</xdr:col>
      <xdr:colOff>39258</xdr:colOff>
      <xdr:row>63</xdr:row>
      <xdr:rowOff>104564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2E6A4ABD-1663-4ABC-8AB1-DF33C86E6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98D31-9275-401A-B983-3686F4FAEDEB}">
  <dimension ref="B1:P17"/>
  <sheetViews>
    <sheetView tabSelected="1" zoomScaleNormal="100" workbookViewId="0"/>
  </sheetViews>
  <sheetFormatPr defaultRowHeight="14.5" x14ac:dyDescent="0.35"/>
  <cols>
    <col min="2" max="2" width="14.7265625" customWidth="1"/>
    <col min="3" max="3" width="29.81640625" customWidth="1"/>
  </cols>
  <sheetData>
    <row r="1" spans="2:16" ht="15" thickBot="1" x14ac:dyDescent="0.4"/>
    <row r="2" spans="2:16" ht="39.5" thickBot="1" x14ac:dyDescent="0.4">
      <c r="B2" s="11" t="s">
        <v>22</v>
      </c>
      <c r="C2" s="11" t="s">
        <v>23</v>
      </c>
      <c r="D2" s="11" t="s">
        <v>24</v>
      </c>
      <c r="E2" s="11" t="s">
        <v>25</v>
      </c>
      <c r="F2" s="11" t="s">
        <v>41</v>
      </c>
      <c r="G2" s="11" t="s">
        <v>42</v>
      </c>
      <c r="H2" s="11" t="s">
        <v>37</v>
      </c>
      <c r="I2" s="11" t="s">
        <v>43</v>
      </c>
      <c r="J2" s="11" t="s">
        <v>44</v>
      </c>
      <c r="K2" s="11" t="s">
        <v>45</v>
      </c>
      <c r="L2" s="11" t="s">
        <v>46</v>
      </c>
      <c r="M2" s="11" t="s">
        <v>47</v>
      </c>
      <c r="N2" s="11" t="s">
        <v>48</v>
      </c>
      <c r="O2" s="11" t="s">
        <v>49</v>
      </c>
      <c r="P2" s="11" t="s">
        <v>50</v>
      </c>
    </row>
    <row r="3" spans="2:16" ht="27" thickTop="1" thickBot="1" x14ac:dyDescent="0.4">
      <c r="B3" s="12" t="s">
        <v>27</v>
      </c>
      <c r="C3" s="12" t="s">
        <v>133</v>
      </c>
      <c r="D3" s="13">
        <v>1871158</v>
      </c>
      <c r="E3" s="12">
        <v>10</v>
      </c>
      <c r="F3" s="12">
        <v>1023</v>
      </c>
      <c r="G3" s="12" t="s">
        <v>51</v>
      </c>
      <c r="H3" s="12" t="s">
        <v>38</v>
      </c>
      <c r="I3" s="12" t="s">
        <v>61</v>
      </c>
      <c r="J3" s="12" t="s">
        <v>62</v>
      </c>
      <c r="K3" s="12" t="s">
        <v>54</v>
      </c>
      <c r="L3" s="12" t="s">
        <v>68</v>
      </c>
      <c r="M3" s="12" t="s">
        <v>60</v>
      </c>
      <c r="N3" s="12" t="s">
        <v>69</v>
      </c>
      <c r="O3" s="12" t="s">
        <v>70</v>
      </c>
      <c r="P3" s="12" t="s">
        <v>71</v>
      </c>
    </row>
    <row r="4" spans="2:16" ht="26.5" thickBot="1" x14ac:dyDescent="0.4">
      <c r="B4" s="14" t="s">
        <v>27</v>
      </c>
      <c r="C4" s="14" t="s">
        <v>134</v>
      </c>
      <c r="D4" s="15">
        <v>3150249</v>
      </c>
      <c r="E4" s="14">
        <v>10</v>
      </c>
      <c r="F4" s="14">
        <v>1023</v>
      </c>
      <c r="G4" s="14" t="s">
        <v>51</v>
      </c>
      <c r="H4" s="14" t="s">
        <v>38</v>
      </c>
      <c r="I4" s="14" t="s">
        <v>61</v>
      </c>
      <c r="J4" s="14" t="s">
        <v>62</v>
      </c>
      <c r="K4" s="14" t="s">
        <v>54</v>
      </c>
      <c r="L4" s="14" t="s">
        <v>72</v>
      </c>
      <c r="M4" s="14" t="s">
        <v>73</v>
      </c>
      <c r="N4" s="14" t="s">
        <v>69</v>
      </c>
      <c r="O4" s="14" t="s">
        <v>74</v>
      </c>
      <c r="P4" s="14" t="s">
        <v>75</v>
      </c>
    </row>
    <row r="5" spans="2:16" ht="26.5" thickBot="1" x14ac:dyDescent="0.4">
      <c r="B5" s="14" t="s">
        <v>26</v>
      </c>
      <c r="C5" s="14" t="s">
        <v>19</v>
      </c>
      <c r="D5" s="15">
        <v>1089091</v>
      </c>
      <c r="E5" s="14">
        <v>10</v>
      </c>
      <c r="F5" s="14">
        <v>1023</v>
      </c>
      <c r="G5" s="14" t="s">
        <v>51</v>
      </c>
      <c r="H5" s="14" t="s">
        <v>38</v>
      </c>
      <c r="I5" s="14" t="s">
        <v>61</v>
      </c>
      <c r="J5" s="14" t="s">
        <v>62</v>
      </c>
      <c r="K5" s="14" t="s">
        <v>54</v>
      </c>
      <c r="L5" s="14" t="s">
        <v>63</v>
      </c>
      <c r="M5" s="14" t="s">
        <v>64</v>
      </c>
      <c r="N5" s="14" t="s">
        <v>65</v>
      </c>
      <c r="O5" s="14" t="s">
        <v>66</v>
      </c>
      <c r="P5" s="14" t="s">
        <v>67</v>
      </c>
    </row>
    <row r="6" spans="2:16" ht="26.5" thickBot="1" x14ac:dyDescent="0.4">
      <c r="B6" s="14" t="s">
        <v>26</v>
      </c>
      <c r="C6" s="14" t="s">
        <v>21</v>
      </c>
      <c r="D6" s="15">
        <v>3130215</v>
      </c>
      <c r="E6" s="14">
        <v>12</v>
      </c>
      <c r="F6" s="14">
        <v>4095</v>
      </c>
      <c r="G6" s="14" t="s">
        <v>51</v>
      </c>
      <c r="H6" s="14" t="s">
        <v>38</v>
      </c>
      <c r="I6" s="14" t="s">
        <v>52</v>
      </c>
      <c r="J6" s="14" t="s">
        <v>53</v>
      </c>
      <c r="K6" s="14" t="s">
        <v>54</v>
      </c>
      <c r="L6" s="14" t="s">
        <v>55</v>
      </c>
      <c r="M6" s="14" t="s">
        <v>56</v>
      </c>
      <c r="N6" s="14" t="s">
        <v>57</v>
      </c>
      <c r="O6" s="14" t="s">
        <v>58</v>
      </c>
      <c r="P6" s="14" t="s">
        <v>59</v>
      </c>
    </row>
    <row r="7" spans="2:16" ht="26.5" thickBot="1" x14ac:dyDescent="0.4">
      <c r="B7" s="16" t="s">
        <v>26</v>
      </c>
      <c r="C7" s="16" t="s">
        <v>20</v>
      </c>
      <c r="D7" s="17">
        <v>3493085</v>
      </c>
      <c r="E7" s="16">
        <v>12</v>
      </c>
      <c r="F7" s="16">
        <v>4095</v>
      </c>
      <c r="G7" s="16" t="s">
        <v>51</v>
      </c>
      <c r="H7" s="16" t="s">
        <v>39</v>
      </c>
      <c r="I7" s="16" t="s">
        <v>91</v>
      </c>
      <c r="J7" s="16" t="s">
        <v>92</v>
      </c>
      <c r="K7" s="16" t="s">
        <v>54</v>
      </c>
      <c r="L7" s="16" t="s">
        <v>93</v>
      </c>
      <c r="M7" s="16" t="s">
        <v>94</v>
      </c>
      <c r="N7" s="16" t="s">
        <v>95</v>
      </c>
      <c r="O7" s="16" t="s">
        <v>96</v>
      </c>
      <c r="P7" s="16" t="s">
        <v>97</v>
      </c>
    </row>
    <row r="8" spans="2:16" ht="26.5" thickBot="1" x14ac:dyDescent="0.4">
      <c r="B8" s="16" t="s">
        <v>26</v>
      </c>
      <c r="C8" s="16" t="s">
        <v>29</v>
      </c>
      <c r="D8" s="17">
        <v>4848745</v>
      </c>
      <c r="E8" s="16">
        <v>12</v>
      </c>
      <c r="F8" s="16">
        <v>4095</v>
      </c>
      <c r="G8" s="16" t="s">
        <v>51</v>
      </c>
      <c r="H8" s="16" t="s">
        <v>39</v>
      </c>
      <c r="I8" s="16" t="s">
        <v>84</v>
      </c>
      <c r="J8" s="16" t="s">
        <v>85</v>
      </c>
      <c r="K8" s="16" t="s">
        <v>78</v>
      </c>
      <c r="L8" s="16" t="s">
        <v>86</v>
      </c>
      <c r="M8" s="16" t="s">
        <v>87</v>
      </c>
      <c r="N8" s="16" t="s">
        <v>88</v>
      </c>
      <c r="O8" s="16" t="s">
        <v>89</v>
      </c>
      <c r="P8" s="16" t="s">
        <v>90</v>
      </c>
    </row>
    <row r="9" spans="2:16" ht="26.5" thickBot="1" x14ac:dyDescent="0.4">
      <c r="B9" s="16" t="s">
        <v>30</v>
      </c>
      <c r="C9" s="16" t="s">
        <v>31</v>
      </c>
      <c r="D9" s="17">
        <v>5705126</v>
      </c>
      <c r="E9" s="16">
        <v>13</v>
      </c>
      <c r="F9" s="16">
        <v>8191</v>
      </c>
      <c r="G9" s="16" t="s">
        <v>51</v>
      </c>
      <c r="H9" s="16" t="s">
        <v>39</v>
      </c>
      <c r="I9" s="16" t="s">
        <v>98</v>
      </c>
      <c r="J9" s="16" t="s">
        <v>99</v>
      </c>
      <c r="K9" s="16" t="s">
        <v>78</v>
      </c>
      <c r="L9" s="16" t="s">
        <v>100</v>
      </c>
      <c r="M9" s="16" t="s">
        <v>101</v>
      </c>
      <c r="N9" s="16" t="s">
        <v>102</v>
      </c>
      <c r="O9" s="16" t="s">
        <v>103</v>
      </c>
      <c r="P9" s="16" t="s">
        <v>104</v>
      </c>
    </row>
    <row r="10" spans="2:16" ht="26.5" thickBot="1" x14ac:dyDescent="0.4">
      <c r="B10" s="16" t="s">
        <v>26</v>
      </c>
      <c r="C10" s="16" t="s">
        <v>28</v>
      </c>
      <c r="D10" s="17">
        <v>1596085</v>
      </c>
      <c r="E10" s="16">
        <v>12</v>
      </c>
      <c r="F10" s="16">
        <v>4095</v>
      </c>
      <c r="G10" s="16" t="s">
        <v>51</v>
      </c>
      <c r="H10" s="16" t="s">
        <v>39</v>
      </c>
      <c r="I10" s="16" t="s">
        <v>76</v>
      </c>
      <c r="J10" s="16" t="s">
        <v>77</v>
      </c>
      <c r="K10" s="16" t="s">
        <v>78</v>
      </c>
      <c r="L10" s="16" t="s">
        <v>79</v>
      </c>
      <c r="M10" s="16" t="s">
        <v>80</v>
      </c>
      <c r="N10" s="16" t="s">
        <v>81</v>
      </c>
      <c r="O10" s="16" t="s">
        <v>82</v>
      </c>
      <c r="P10" s="16" t="s">
        <v>83</v>
      </c>
    </row>
    <row r="11" spans="2:16" ht="26.5" thickBot="1" x14ac:dyDescent="0.4">
      <c r="B11" s="18" t="s">
        <v>35</v>
      </c>
      <c r="C11" s="18" t="s">
        <v>36</v>
      </c>
      <c r="D11" s="19">
        <v>4694733</v>
      </c>
      <c r="E11" s="18">
        <v>13</v>
      </c>
      <c r="F11" s="18">
        <v>8191</v>
      </c>
      <c r="G11" s="18" t="s">
        <v>126</v>
      </c>
      <c r="H11" s="18" t="s">
        <v>40</v>
      </c>
      <c r="I11" s="20">
        <v>9.9500000000000005E-3</v>
      </c>
      <c r="J11" s="18" t="s">
        <v>127</v>
      </c>
      <c r="K11" s="18" t="s">
        <v>78</v>
      </c>
      <c r="L11" s="18" t="s">
        <v>128</v>
      </c>
      <c r="M11" s="18" t="s">
        <v>129</v>
      </c>
      <c r="N11" s="18" t="s">
        <v>130</v>
      </c>
      <c r="O11" s="18" t="s">
        <v>131</v>
      </c>
      <c r="P11" s="18" t="s">
        <v>132</v>
      </c>
    </row>
    <row r="12" spans="2:16" ht="26.5" thickBot="1" x14ac:dyDescent="0.4">
      <c r="B12" s="18" t="s">
        <v>26</v>
      </c>
      <c r="C12" s="18" t="s">
        <v>32</v>
      </c>
      <c r="D12" s="19">
        <v>1481746</v>
      </c>
      <c r="E12" s="18">
        <v>12</v>
      </c>
      <c r="F12" s="18">
        <v>4095</v>
      </c>
      <c r="G12" s="18" t="s">
        <v>51</v>
      </c>
      <c r="H12" s="18" t="s">
        <v>40</v>
      </c>
      <c r="I12" s="18" t="s">
        <v>105</v>
      </c>
      <c r="J12" s="18" t="s">
        <v>106</v>
      </c>
      <c r="K12" s="18" t="s">
        <v>54</v>
      </c>
      <c r="L12" s="18" t="s">
        <v>107</v>
      </c>
      <c r="M12" s="18" t="s">
        <v>108</v>
      </c>
      <c r="N12" s="18" t="s">
        <v>109</v>
      </c>
      <c r="O12" s="18" t="s">
        <v>110</v>
      </c>
      <c r="P12" s="18" t="s">
        <v>111</v>
      </c>
    </row>
    <row r="13" spans="2:16" ht="26.5" thickBot="1" x14ac:dyDescent="0.4">
      <c r="B13" s="18" t="s">
        <v>26</v>
      </c>
      <c r="C13" s="18" t="s">
        <v>33</v>
      </c>
      <c r="D13" s="19">
        <v>1009132</v>
      </c>
      <c r="E13" s="18">
        <v>12</v>
      </c>
      <c r="F13" s="18">
        <v>4095</v>
      </c>
      <c r="G13" s="18" t="s">
        <v>51</v>
      </c>
      <c r="H13" s="18" t="s">
        <v>40</v>
      </c>
      <c r="I13" s="18" t="s">
        <v>112</v>
      </c>
      <c r="J13" s="18" t="s">
        <v>113</v>
      </c>
      <c r="K13" s="18" t="s">
        <v>54</v>
      </c>
      <c r="L13" s="18" t="s">
        <v>114</v>
      </c>
      <c r="M13" s="18" t="s">
        <v>115</v>
      </c>
      <c r="N13" s="18" t="s">
        <v>116</v>
      </c>
      <c r="O13" s="18" t="s">
        <v>117</v>
      </c>
      <c r="P13" s="18" t="s">
        <v>118</v>
      </c>
    </row>
    <row r="14" spans="2:16" ht="26.5" thickBot="1" x14ac:dyDescent="0.4">
      <c r="B14" s="18" t="s">
        <v>26</v>
      </c>
      <c r="C14" s="18" t="s">
        <v>34</v>
      </c>
      <c r="D14" s="19">
        <v>1995189</v>
      </c>
      <c r="E14" s="18">
        <v>13</v>
      </c>
      <c r="F14" s="18">
        <v>8191</v>
      </c>
      <c r="G14" s="18" t="s">
        <v>51</v>
      </c>
      <c r="H14" s="18" t="s">
        <v>40</v>
      </c>
      <c r="I14" s="18" t="s">
        <v>119</v>
      </c>
      <c r="J14" s="18" t="s">
        <v>120</v>
      </c>
      <c r="K14" s="18" t="s">
        <v>78</v>
      </c>
      <c r="L14" s="18" t="s">
        <v>121</v>
      </c>
      <c r="M14" s="18" t="s">
        <v>122</v>
      </c>
      <c r="N14" s="18" t="s">
        <v>123</v>
      </c>
      <c r="O14" s="18" t="s">
        <v>124</v>
      </c>
      <c r="P14" s="18" t="s">
        <v>125</v>
      </c>
    </row>
    <row r="15" spans="2:16" x14ac:dyDescent="0.35">
      <c r="B15" s="44"/>
      <c r="C15" s="44" t="s">
        <v>156</v>
      </c>
    </row>
    <row r="16" spans="2:16" x14ac:dyDescent="0.35">
      <c r="B16" s="44"/>
      <c r="C16" s="44" t="s">
        <v>157</v>
      </c>
    </row>
    <row r="17" spans="2:3" x14ac:dyDescent="0.35">
      <c r="B17" s="44"/>
      <c r="C17" s="44" t="s">
        <v>158</v>
      </c>
    </row>
  </sheetData>
  <sortState xmlns:xlrd2="http://schemas.microsoft.com/office/spreadsheetml/2017/richdata2" ref="B3:P14">
    <sortCondition ref="J3:J14"/>
    <sortCondition ref="N3:N1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38546-F7C6-42B8-A399-C1F5F9EB2C69}">
  <dimension ref="B5:R20"/>
  <sheetViews>
    <sheetView zoomScaleNormal="100" workbookViewId="0"/>
  </sheetViews>
  <sheetFormatPr defaultRowHeight="14.5" x14ac:dyDescent="0.35"/>
  <cols>
    <col min="2" max="2" width="30.453125" bestFit="1" customWidth="1"/>
    <col min="3" max="8" width="8.7265625" customWidth="1"/>
  </cols>
  <sheetData>
    <row r="5" spans="2:18" x14ac:dyDescent="0.35">
      <c r="B5" s="4"/>
      <c r="C5" s="90" t="s">
        <v>13</v>
      </c>
      <c r="D5" s="91"/>
      <c r="E5" s="91"/>
      <c r="F5" s="92"/>
      <c r="G5" s="90" t="s">
        <v>14</v>
      </c>
      <c r="H5" s="91"/>
      <c r="I5" s="91"/>
      <c r="J5" s="92"/>
      <c r="K5" s="90" t="s">
        <v>15</v>
      </c>
      <c r="L5" s="91"/>
      <c r="M5" s="91"/>
      <c r="N5" s="92"/>
      <c r="O5" s="90" t="s">
        <v>16</v>
      </c>
      <c r="P5" s="91"/>
      <c r="Q5" s="91"/>
      <c r="R5" s="92"/>
    </row>
    <row r="6" spans="2:18" x14ac:dyDescent="0.35">
      <c r="B6" s="6"/>
      <c r="C6" s="66" t="s">
        <v>135</v>
      </c>
      <c r="D6" s="23" t="s">
        <v>136</v>
      </c>
      <c r="E6" s="23" t="s">
        <v>182</v>
      </c>
      <c r="F6" s="24" t="s">
        <v>183</v>
      </c>
      <c r="G6" s="66" t="s">
        <v>135</v>
      </c>
      <c r="H6" s="23" t="s">
        <v>136</v>
      </c>
      <c r="I6" s="23" t="s">
        <v>182</v>
      </c>
      <c r="J6" s="24" t="s">
        <v>183</v>
      </c>
      <c r="K6" s="66" t="s">
        <v>135</v>
      </c>
      <c r="L6" s="23" t="s">
        <v>136</v>
      </c>
      <c r="M6" s="23" t="s">
        <v>182</v>
      </c>
      <c r="N6" s="24" t="s">
        <v>183</v>
      </c>
      <c r="O6" s="66" t="s">
        <v>135</v>
      </c>
      <c r="P6" s="23" t="s">
        <v>136</v>
      </c>
      <c r="Q6" s="23" t="s">
        <v>182</v>
      </c>
      <c r="R6" s="24" t="s">
        <v>183</v>
      </c>
    </row>
    <row r="7" spans="2:18" x14ac:dyDescent="0.35">
      <c r="B7" s="7" t="s">
        <v>133</v>
      </c>
      <c r="C7" s="7">
        <v>4</v>
      </c>
      <c r="D7" t="s">
        <v>184</v>
      </c>
      <c r="E7">
        <v>1</v>
      </c>
      <c r="F7" s="4">
        <v>1</v>
      </c>
      <c r="G7" s="7">
        <v>2</v>
      </c>
      <c r="H7" t="s">
        <v>184</v>
      </c>
      <c r="I7">
        <v>2</v>
      </c>
      <c r="J7" s="4">
        <v>2</v>
      </c>
      <c r="K7" s="7">
        <v>1</v>
      </c>
      <c r="L7" t="s">
        <v>185</v>
      </c>
      <c r="M7">
        <v>2</v>
      </c>
      <c r="N7" s="4">
        <v>2</v>
      </c>
      <c r="O7" s="7">
        <v>1</v>
      </c>
      <c r="P7" t="s">
        <v>185</v>
      </c>
      <c r="Q7">
        <v>4</v>
      </c>
      <c r="R7" s="4">
        <v>4</v>
      </c>
    </row>
    <row r="8" spans="2:18" x14ac:dyDescent="0.35">
      <c r="B8" s="7" t="s">
        <v>134</v>
      </c>
      <c r="C8" s="7">
        <v>4</v>
      </c>
      <c r="D8" t="s">
        <v>184</v>
      </c>
      <c r="E8">
        <v>4</v>
      </c>
      <c r="F8" s="4">
        <v>1</v>
      </c>
      <c r="G8" s="7">
        <v>1</v>
      </c>
      <c r="H8" t="s">
        <v>185</v>
      </c>
      <c r="I8">
        <v>2</v>
      </c>
      <c r="J8" s="4">
        <v>0</v>
      </c>
      <c r="K8" s="7">
        <v>1</v>
      </c>
      <c r="L8" t="s">
        <v>185</v>
      </c>
      <c r="M8">
        <v>3</v>
      </c>
      <c r="N8" s="4">
        <v>2</v>
      </c>
      <c r="O8" s="7">
        <v>1</v>
      </c>
      <c r="P8" t="s">
        <v>185</v>
      </c>
      <c r="Q8">
        <v>4</v>
      </c>
      <c r="R8" s="4">
        <v>4</v>
      </c>
    </row>
    <row r="9" spans="2:18" x14ac:dyDescent="0.35">
      <c r="B9" s="7" t="s">
        <v>19</v>
      </c>
      <c r="C9" s="7">
        <v>4</v>
      </c>
      <c r="D9" t="s">
        <v>184</v>
      </c>
      <c r="E9">
        <v>2</v>
      </c>
      <c r="F9" s="4">
        <v>2</v>
      </c>
      <c r="G9" s="7">
        <v>2</v>
      </c>
      <c r="H9" t="s">
        <v>184</v>
      </c>
      <c r="I9">
        <v>2</v>
      </c>
      <c r="J9" s="4">
        <v>2</v>
      </c>
      <c r="K9" s="7">
        <v>1</v>
      </c>
      <c r="L9" t="s">
        <v>185</v>
      </c>
      <c r="M9">
        <v>2</v>
      </c>
      <c r="N9" s="4">
        <v>2</v>
      </c>
      <c r="O9" s="7">
        <v>1</v>
      </c>
      <c r="P9" t="s">
        <v>185</v>
      </c>
      <c r="Q9">
        <v>3</v>
      </c>
      <c r="R9" s="4">
        <v>4</v>
      </c>
    </row>
    <row r="10" spans="2:18" x14ac:dyDescent="0.35">
      <c r="B10" s="7" t="s">
        <v>21</v>
      </c>
      <c r="C10" s="7">
        <v>4</v>
      </c>
      <c r="D10" t="s">
        <v>184</v>
      </c>
      <c r="E10">
        <v>1</v>
      </c>
      <c r="F10" s="4">
        <v>0</v>
      </c>
      <c r="G10" s="7">
        <v>2</v>
      </c>
      <c r="H10" t="s">
        <v>184</v>
      </c>
      <c r="I10">
        <v>1</v>
      </c>
      <c r="J10" s="4">
        <v>1</v>
      </c>
      <c r="K10" s="7">
        <v>1</v>
      </c>
      <c r="L10" t="s">
        <v>185</v>
      </c>
      <c r="M10">
        <v>1</v>
      </c>
      <c r="N10" s="4">
        <v>2</v>
      </c>
      <c r="O10" s="7">
        <v>1</v>
      </c>
      <c r="P10" t="s">
        <v>185</v>
      </c>
      <c r="Q10">
        <v>3</v>
      </c>
      <c r="R10" s="4">
        <v>4</v>
      </c>
    </row>
    <row r="11" spans="2:18" x14ac:dyDescent="0.35">
      <c r="B11" s="7" t="s">
        <v>20</v>
      </c>
      <c r="C11" s="7">
        <v>4</v>
      </c>
      <c r="D11" t="s">
        <v>184</v>
      </c>
      <c r="E11">
        <v>0</v>
      </c>
      <c r="F11" s="4">
        <v>1</v>
      </c>
      <c r="G11" s="7">
        <v>2</v>
      </c>
      <c r="H11" t="s">
        <v>184</v>
      </c>
      <c r="I11">
        <v>1</v>
      </c>
      <c r="J11" s="4">
        <v>1</v>
      </c>
      <c r="K11" s="7">
        <v>2</v>
      </c>
      <c r="L11" t="s">
        <v>184</v>
      </c>
      <c r="M11">
        <v>4</v>
      </c>
      <c r="N11" s="4">
        <v>3</v>
      </c>
      <c r="O11" s="7">
        <v>1</v>
      </c>
      <c r="P11" t="s">
        <v>185</v>
      </c>
      <c r="Q11">
        <v>3</v>
      </c>
      <c r="R11" s="4">
        <v>3</v>
      </c>
    </row>
    <row r="12" spans="2:18" x14ac:dyDescent="0.35">
      <c r="B12" s="7" t="s">
        <v>29</v>
      </c>
      <c r="C12" s="7">
        <v>4</v>
      </c>
      <c r="D12" t="s">
        <v>184</v>
      </c>
      <c r="E12">
        <v>1</v>
      </c>
      <c r="F12" s="4">
        <v>1</v>
      </c>
      <c r="G12" s="7">
        <v>2</v>
      </c>
      <c r="H12" t="s">
        <v>184</v>
      </c>
      <c r="I12">
        <v>2</v>
      </c>
      <c r="J12" s="4">
        <v>2</v>
      </c>
      <c r="K12" s="7">
        <v>1</v>
      </c>
      <c r="L12" t="s">
        <v>185</v>
      </c>
      <c r="M12">
        <v>3</v>
      </c>
      <c r="N12" s="4">
        <v>2</v>
      </c>
      <c r="O12" s="7">
        <v>1</v>
      </c>
      <c r="P12" t="s">
        <v>185</v>
      </c>
      <c r="Q12">
        <v>4</v>
      </c>
      <c r="R12" s="4">
        <v>3</v>
      </c>
    </row>
    <row r="13" spans="2:18" x14ac:dyDescent="0.35">
      <c r="B13" s="7" t="s">
        <v>31</v>
      </c>
      <c r="C13" s="7">
        <v>4</v>
      </c>
      <c r="D13" t="s">
        <v>185</v>
      </c>
      <c r="E13">
        <v>0</v>
      </c>
      <c r="F13" s="4">
        <v>0</v>
      </c>
      <c r="G13" s="7">
        <v>4</v>
      </c>
      <c r="H13" t="s">
        <v>185</v>
      </c>
      <c r="I13">
        <v>3</v>
      </c>
      <c r="J13" s="4">
        <v>2</v>
      </c>
      <c r="K13" s="7">
        <v>2</v>
      </c>
      <c r="L13" t="s">
        <v>185</v>
      </c>
      <c r="M13">
        <v>3</v>
      </c>
      <c r="N13" s="4">
        <v>1</v>
      </c>
      <c r="O13" s="7">
        <v>2</v>
      </c>
      <c r="P13" t="s">
        <v>184</v>
      </c>
      <c r="Q13">
        <v>4</v>
      </c>
      <c r="R13" s="4">
        <v>3</v>
      </c>
    </row>
    <row r="14" spans="2:18" x14ac:dyDescent="0.35">
      <c r="B14" s="7" t="s">
        <v>28</v>
      </c>
      <c r="C14" s="7">
        <v>4</v>
      </c>
      <c r="D14" t="s">
        <v>184</v>
      </c>
      <c r="E14">
        <v>1</v>
      </c>
      <c r="F14" s="4">
        <v>2</v>
      </c>
      <c r="G14" s="7">
        <v>2</v>
      </c>
      <c r="H14" t="s">
        <v>184</v>
      </c>
      <c r="I14">
        <v>2</v>
      </c>
      <c r="J14" s="4">
        <v>3</v>
      </c>
      <c r="K14" s="7">
        <v>1</v>
      </c>
      <c r="L14" t="s">
        <v>185</v>
      </c>
      <c r="M14">
        <v>3</v>
      </c>
      <c r="N14" s="4">
        <v>2</v>
      </c>
      <c r="O14" s="7">
        <v>1</v>
      </c>
      <c r="P14" t="s">
        <v>185</v>
      </c>
      <c r="Q14">
        <v>4</v>
      </c>
      <c r="R14" s="4">
        <v>2</v>
      </c>
    </row>
    <row r="15" spans="2:18" x14ac:dyDescent="0.35">
      <c r="B15" s="7" t="s">
        <v>36</v>
      </c>
      <c r="C15" s="7">
        <v>4</v>
      </c>
      <c r="D15" t="s">
        <v>185</v>
      </c>
      <c r="E15">
        <v>0</v>
      </c>
      <c r="F15" s="4">
        <v>0</v>
      </c>
      <c r="G15" s="7">
        <v>4</v>
      </c>
      <c r="H15" t="s">
        <v>185</v>
      </c>
      <c r="I15">
        <v>3</v>
      </c>
      <c r="J15" s="4">
        <v>1</v>
      </c>
      <c r="K15" s="7">
        <v>2</v>
      </c>
      <c r="L15" t="s">
        <v>185</v>
      </c>
      <c r="M15">
        <v>3</v>
      </c>
      <c r="N15" s="4">
        <v>1</v>
      </c>
      <c r="O15" s="7">
        <v>2</v>
      </c>
      <c r="P15" t="s">
        <v>185</v>
      </c>
      <c r="Q15">
        <v>4</v>
      </c>
      <c r="R15" s="4">
        <v>3</v>
      </c>
    </row>
    <row r="16" spans="2:18" x14ac:dyDescent="0.35">
      <c r="B16" s="7" t="s">
        <v>32</v>
      </c>
      <c r="C16" s="7">
        <v>4</v>
      </c>
      <c r="D16" t="s">
        <v>185</v>
      </c>
      <c r="E16">
        <v>0</v>
      </c>
      <c r="F16" s="4">
        <v>0</v>
      </c>
      <c r="G16" s="7">
        <v>4</v>
      </c>
      <c r="H16" t="s">
        <v>185</v>
      </c>
      <c r="I16">
        <v>2</v>
      </c>
      <c r="J16" s="4">
        <v>1</v>
      </c>
      <c r="K16" s="7">
        <v>2</v>
      </c>
      <c r="L16" t="s">
        <v>185</v>
      </c>
      <c r="M16">
        <v>3</v>
      </c>
      <c r="N16" s="4">
        <v>1</v>
      </c>
      <c r="O16" s="7">
        <v>2</v>
      </c>
      <c r="P16" t="s">
        <v>185</v>
      </c>
      <c r="Q16">
        <v>4</v>
      </c>
      <c r="R16" s="4">
        <v>3</v>
      </c>
    </row>
    <row r="17" spans="2:18" x14ac:dyDescent="0.35">
      <c r="B17" s="7" t="s">
        <v>33</v>
      </c>
      <c r="C17" s="7">
        <v>4</v>
      </c>
      <c r="D17" t="s">
        <v>185</v>
      </c>
      <c r="E17">
        <v>1</v>
      </c>
      <c r="F17" s="4">
        <v>1</v>
      </c>
      <c r="G17" s="7">
        <v>2</v>
      </c>
      <c r="H17" t="s">
        <v>185</v>
      </c>
      <c r="I17">
        <v>2</v>
      </c>
      <c r="J17" s="4">
        <v>2</v>
      </c>
      <c r="K17" s="7">
        <v>2</v>
      </c>
      <c r="L17" t="s">
        <v>184</v>
      </c>
      <c r="M17">
        <v>4</v>
      </c>
      <c r="N17" s="4">
        <v>3</v>
      </c>
      <c r="O17" s="7">
        <v>1</v>
      </c>
      <c r="P17" t="s">
        <v>185</v>
      </c>
      <c r="Q17">
        <v>3</v>
      </c>
      <c r="R17" s="4">
        <v>2</v>
      </c>
    </row>
    <row r="18" spans="2:18" x14ac:dyDescent="0.35">
      <c r="B18" s="9" t="s">
        <v>34</v>
      </c>
      <c r="C18" s="9">
        <v>4</v>
      </c>
      <c r="D18" s="5" t="s">
        <v>185</v>
      </c>
      <c r="E18" s="5">
        <v>1</v>
      </c>
      <c r="F18" s="6">
        <v>0</v>
      </c>
      <c r="G18" s="9">
        <v>4</v>
      </c>
      <c r="H18" s="5" t="s">
        <v>185</v>
      </c>
      <c r="I18" s="5">
        <v>3</v>
      </c>
      <c r="J18" s="6">
        <v>2</v>
      </c>
      <c r="K18" s="9">
        <v>4</v>
      </c>
      <c r="L18" s="5" t="s">
        <v>185</v>
      </c>
      <c r="M18" s="5">
        <v>4</v>
      </c>
      <c r="N18" s="6">
        <v>2</v>
      </c>
      <c r="O18" s="9">
        <v>2</v>
      </c>
      <c r="P18" s="5" t="s">
        <v>185</v>
      </c>
      <c r="Q18" s="5">
        <v>3</v>
      </c>
      <c r="R18" s="6">
        <v>2</v>
      </c>
    </row>
    <row r="20" spans="2:18" x14ac:dyDescent="0.35">
      <c r="B20" t="s">
        <v>179</v>
      </c>
      <c r="C20" t="s">
        <v>178</v>
      </c>
      <c r="D20" t="s">
        <v>180</v>
      </c>
      <c r="E20" t="s">
        <v>181</v>
      </c>
    </row>
  </sheetData>
  <mergeCells count="4">
    <mergeCell ref="O5:R5"/>
    <mergeCell ref="C5:F5"/>
    <mergeCell ref="G5:J5"/>
    <mergeCell ref="K5:N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F90E4-D863-4912-83F3-1871B752EE54}">
  <dimension ref="A1:AV168"/>
  <sheetViews>
    <sheetView zoomScaleNormal="100" workbookViewId="0"/>
  </sheetViews>
  <sheetFormatPr defaultColWidth="8.81640625" defaultRowHeight="14.5" x14ac:dyDescent="0.35"/>
  <cols>
    <col min="1" max="1" width="35.81640625" bestFit="1" customWidth="1"/>
    <col min="2" max="2" width="9.453125" bestFit="1" customWidth="1"/>
    <col min="3" max="4" width="8.81640625" customWidth="1"/>
    <col min="5" max="5" width="9.453125" bestFit="1" customWidth="1"/>
    <col min="6" max="7" width="8.81640625" customWidth="1"/>
    <col min="8" max="8" width="24.54296875" bestFit="1" customWidth="1"/>
    <col min="9" max="10" width="8.81640625" customWidth="1"/>
    <col min="11" max="11" width="9.453125" bestFit="1" customWidth="1"/>
    <col min="12" max="16" width="8.81640625" customWidth="1"/>
    <col min="17" max="17" width="9.453125" bestFit="1" customWidth="1"/>
    <col min="18" max="20" width="8.81640625" customWidth="1"/>
    <col min="21" max="21" width="22.453125" bestFit="1" customWidth="1"/>
    <col min="22" max="22" width="8.81640625" customWidth="1"/>
    <col min="23" max="23" width="31.1796875" bestFit="1" customWidth="1"/>
    <col min="24" max="28" width="8.81640625" customWidth="1"/>
    <col min="29" max="29" width="9.453125" bestFit="1" customWidth="1"/>
    <col min="30" max="31" width="8.81640625" customWidth="1"/>
    <col min="32" max="32" width="9.453125" bestFit="1" customWidth="1"/>
    <col min="33" max="34" width="8.81640625" customWidth="1"/>
    <col min="35" max="35" width="9.453125" bestFit="1" customWidth="1"/>
    <col min="36" max="37" width="8.81640625" customWidth="1"/>
    <col min="38" max="38" width="9.453125" bestFit="1" customWidth="1"/>
    <col min="39" max="40" width="8.81640625" customWidth="1"/>
    <col min="41" max="41" width="9.453125" bestFit="1" customWidth="1"/>
    <col min="42" max="43" width="8.81640625" customWidth="1"/>
    <col min="44" max="44" width="9.453125" bestFit="1" customWidth="1"/>
    <col min="45" max="46" width="8.81640625" customWidth="1"/>
    <col min="48" max="49" width="8.81640625" customWidth="1"/>
    <col min="51" max="52" width="8.81640625" customWidth="1"/>
    <col min="54" max="55" width="8.81640625" customWidth="1"/>
    <col min="57" max="58" width="8.81640625" customWidth="1"/>
    <col min="60" max="64" width="8.81640625" customWidth="1"/>
    <col min="66" max="70" width="8.81640625" customWidth="1"/>
    <col min="72" max="76" width="8.81640625" customWidth="1"/>
    <col min="78" max="82" width="8.81640625" customWidth="1"/>
    <col min="84" max="90" width="8.81640625" customWidth="1"/>
  </cols>
  <sheetData>
    <row r="1" spans="1:46" x14ac:dyDescent="0.35">
      <c r="B1" s="90" t="s">
        <v>133</v>
      </c>
      <c r="C1" s="91"/>
      <c r="D1" s="92"/>
      <c r="E1" s="90" t="s">
        <v>134</v>
      </c>
      <c r="F1" s="91"/>
      <c r="G1" s="92"/>
      <c r="H1" s="90" t="s">
        <v>19</v>
      </c>
      <c r="I1" s="91"/>
      <c r="J1" s="92"/>
      <c r="K1" s="90" t="s">
        <v>21</v>
      </c>
      <c r="L1" s="91"/>
      <c r="M1" s="91"/>
      <c r="N1" s="90" t="s">
        <v>20</v>
      </c>
      <c r="O1" s="91"/>
      <c r="P1" s="91"/>
      <c r="Q1" s="90" t="s">
        <v>29</v>
      </c>
      <c r="R1" s="91"/>
      <c r="S1" s="91"/>
      <c r="T1" s="90" t="s">
        <v>31</v>
      </c>
      <c r="U1" s="91"/>
      <c r="V1" s="91"/>
      <c r="W1" s="90" t="s">
        <v>28</v>
      </c>
      <c r="X1" s="91"/>
      <c r="Y1" s="92"/>
      <c r="Z1" s="90" t="s">
        <v>36</v>
      </c>
      <c r="AA1" s="91"/>
      <c r="AB1" s="91"/>
      <c r="AC1" s="90" t="s">
        <v>32</v>
      </c>
      <c r="AD1" s="91"/>
      <c r="AE1" s="91"/>
      <c r="AF1" s="90" t="s">
        <v>33</v>
      </c>
      <c r="AG1" s="91"/>
      <c r="AH1" s="91"/>
      <c r="AI1" s="90" t="s">
        <v>34</v>
      </c>
      <c r="AJ1" s="91"/>
      <c r="AK1" s="91"/>
      <c r="AL1" s="90" t="s">
        <v>156</v>
      </c>
      <c r="AM1" s="91"/>
      <c r="AN1" s="91"/>
      <c r="AO1" s="90" t="s">
        <v>157</v>
      </c>
      <c r="AP1" s="91"/>
      <c r="AQ1" s="91"/>
      <c r="AR1" s="90" t="s">
        <v>158</v>
      </c>
      <c r="AS1" s="91"/>
      <c r="AT1" s="92"/>
    </row>
    <row r="2" spans="1:46" x14ac:dyDescent="0.35">
      <c r="B2" s="29" t="s">
        <v>12</v>
      </c>
      <c r="C2" s="21" t="s">
        <v>148</v>
      </c>
      <c r="D2" s="21" t="s">
        <v>149</v>
      </c>
      <c r="E2" s="29" t="s">
        <v>12</v>
      </c>
      <c r="F2" s="21" t="s">
        <v>148</v>
      </c>
      <c r="G2" s="21" t="s">
        <v>149</v>
      </c>
      <c r="H2" s="29" t="s">
        <v>12</v>
      </c>
      <c r="I2" s="21" t="s">
        <v>148</v>
      </c>
      <c r="J2" s="21" t="s">
        <v>149</v>
      </c>
      <c r="K2" s="29" t="s">
        <v>12</v>
      </c>
      <c r="L2" s="21" t="s">
        <v>148</v>
      </c>
      <c r="M2" s="21" t="s">
        <v>149</v>
      </c>
      <c r="N2" s="29" t="s">
        <v>12</v>
      </c>
      <c r="O2" s="21" t="s">
        <v>148</v>
      </c>
      <c r="P2" s="21" t="s">
        <v>149</v>
      </c>
      <c r="Q2" s="29" t="s">
        <v>12</v>
      </c>
      <c r="R2" s="21" t="s">
        <v>148</v>
      </c>
      <c r="S2" s="21" t="s">
        <v>149</v>
      </c>
      <c r="T2" s="29" t="s">
        <v>12</v>
      </c>
      <c r="U2" s="21" t="s">
        <v>148</v>
      </c>
      <c r="V2" s="21" t="s">
        <v>149</v>
      </c>
      <c r="W2" s="29" t="s">
        <v>12</v>
      </c>
      <c r="X2" s="21" t="s">
        <v>148</v>
      </c>
      <c r="Y2" s="21" t="s">
        <v>149</v>
      </c>
      <c r="Z2" s="29" t="s">
        <v>12</v>
      </c>
      <c r="AA2" s="21" t="s">
        <v>148</v>
      </c>
      <c r="AB2" s="21" t="s">
        <v>149</v>
      </c>
      <c r="AC2" s="29" t="s">
        <v>12</v>
      </c>
      <c r="AD2" s="21" t="s">
        <v>148</v>
      </c>
      <c r="AE2" s="21" t="s">
        <v>149</v>
      </c>
      <c r="AF2" s="29" t="s">
        <v>12</v>
      </c>
      <c r="AG2" s="21" t="s">
        <v>148</v>
      </c>
      <c r="AH2" s="21" t="s">
        <v>149</v>
      </c>
      <c r="AI2" s="29" t="s">
        <v>12</v>
      </c>
      <c r="AJ2" s="21" t="s">
        <v>148</v>
      </c>
      <c r="AK2" s="21" t="s">
        <v>149</v>
      </c>
      <c r="AL2" s="29" t="s">
        <v>12</v>
      </c>
      <c r="AM2" s="21" t="s">
        <v>148</v>
      </c>
      <c r="AN2" s="21" t="s">
        <v>149</v>
      </c>
      <c r="AO2" s="29" t="s">
        <v>12</v>
      </c>
      <c r="AP2" s="21" t="s">
        <v>148</v>
      </c>
      <c r="AQ2" s="21" t="s">
        <v>149</v>
      </c>
      <c r="AR2" s="29" t="s">
        <v>12</v>
      </c>
      <c r="AS2" s="21" t="s">
        <v>148</v>
      </c>
      <c r="AT2" s="22" t="s">
        <v>149</v>
      </c>
    </row>
    <row r="3" spans="1:46" x14ac:dyDescent="0.35">
      <c r="A3" s="99" t="s">
        <v>155</v>
      </c>
      <c r="B3" s="52">
        <v>1.30315E-2</v>
      </c>
      <c r="C3" s="53">
        <v>58.730899999999998</v>
      </c>
      <c r="D3" s="53">
        <v>60.784599999999998</v>
      </c>
      <c r="E3" s="52">
        <v>5.74304E-2</v>
      </c>
      <c r="F3" s="53">
        <v>63.296500000000002</v>
      </c>
      <c r="G3" s="53">
        <v>66.225399999999993</v>
      </c>
      <c r="H3" s="52">
        <v>2.8353900000000001E-2</v>
      </c>
      <c r="I3" s="53">
        <v>64.399500000000003</v>
      </c>
      <c r="J3" s="53">
        <v>66.505600000000001</v>
      </c>
      <c r="K3" s="52">
        <v>1.8005199999999999E-2</v>
      </c>
      <c r="L3" s="53">
        <v>74.160799999999995</v>
      </c>
      <c r="M3" s="53">
        <v>75.1387</v>
      </c>
      <c r="N3" s="52">
        <v>3.3000099999999997E-2</v>
      </c>
      <c r="O3" s="53">
        <v>73.245500000000007</v>
      </c>
      <c r="P3" s="53">
        <v>75.488299999999995</v>
      </c>
      <c r="Q3" s="52">
        <v>5.8974400000000003E-2</v>
      </c>
      <c r="R3" s="53">
        <v>68.745999999999995</v>
      </c>
      <c r="S3" s="53">
        <v>73.155699999999996</v>
      </c>
      <c r="T3" s="52">
        <v>5.2422999999999997E-2</v>
      </c>
      <c r="U3" s="53">
        <v>67.219099999999997</v>
      </c>
      <c r="V3" s="53">
        <v>69.714299999999994</v>
      </c>
      <c r="W3" s="52">
        <v>0.12748699999999999</v>
      </c>
      <c r="X3" s="53">
        <v>66.049300000000002</v>
      </c>
      <c r="Y3" s="53">
        <v>71.360900000000001</v>
      </c>
      <c r="Z3" s="52">
        <v>7.7365000000000003E-2</v>
      </c>
      <c r="AA3" s="53">
        <v>68.4893</v>
      </c>
      <c r="AB3" s="53">
        <v>71.017700000000005</v>
      </c>
      <c r="AC3" s="52">
        <v>0.114735</v>
      </c>
      <c r="AD3" s="53">
        <v>58.887799999999999</v>
      </c>
      <c r="AE3" s="53">
        <v>62.846299999999999</v>
      </c>
      <c r="AF3" s="52">
        <v>0.174479</v>
      </c>
      <c r="AG3" s="53">
        <v>63.620199999999997</v>
      </c>
      <c r="AH3" s="53">
        <v>66.596000000000004</v>
      </c>
      <c r="AI3" s="52">
        <v>0.34598000000000001</v>
      </c>
      <c r="AJ3" s="53">
        <v>64.742000000000004</v>
      </c>
      <c r="AK3" s="53">
        <v>69.561300000000003</v>
      </c>
      <c r="AL3" s="52">
        <f t="shared" ref="AL3:AL38" si="0">AVERAGE(K3,H3,B3,E3)</f>
        <v>2.9205250000000002E-2</v>
      </c>
      <c r="AM3" s="53">
        <f t="shared" ref="AM3:AM38" si="1">AVERAGE(L3,I3,C3,F3)</f>
        <v>65.146924999999996</v>
      </c>
      <c r="AN3" s="53">
        <f t="shared" ref="AN3:AN38" si="2">AVERAGE(M3,J3,D3,G3)</f>
        <v>67.163574999999994</v>
      </c>
      <c r="AO3" s="52">
        <f t="shared" ref="AO3:AO38" si="3">AVERAGE(W3,Q3,N3,T3)</f>
        <v>6.7971124999999993E-2</v>
      </c>
      <c r="AP3" s="53">
        <f t="shared" ref="AP3:AP38" si="4">AVERAGE(X3,R3,O3,U3)</f>
        <v>68.814975000000004</v>
      </c>
      <c r="AQ3" s="53">
        <f t="shared" ref="AQ3:AQ38" si="5">AVERAGE(Y3,S3,P3,V3)</f>
        <v>72.429799999999986</v>
      </c>
      <c r="AR3" s="52">
        <f t="shared" ref="AR3:AR38" si="6">AVERAGE(AC3,AF3,AI3,Z3)</f>
        <v>0.17813975000000001</v>
      </c>
      <c r="AS3" s="53">
        <f t="shared" ref="AS3:AS38" si="7">AVERAGE(AD3,AG3,AJ3,AA3)</f>
        <v>63.934825000000004</v>
      </c>
      <c r="AT3" s="63">
        <f t="shared" ref="AT3:AT38" si="8">AVERAGE(AE3,AH3,AK3,AB3)</f>
        <v>67.505324999999999</v>
      </c>
    </row>
    <row r="4" spans="1:46" x14ac:dyDescent="0.35">
      <c r="A4" s="100"/>
      <c r="B4" s="54">
        <v>8.5234900000000002E-2</v>
      </c>
      <c r="C4" s="55">
        <v>68.869799999999998</v>
      </c>
      <c r="D4" s="55">
        <v>72.054100000000005</v>
      </c>
      <c r="E4" s="54">
        <v>0.327677</v>
      </c>
      <c r="F4" s="55">
        <v>71.897400000000005</v>
      </c>
      <c r="G4" s="55">
        <v>76.287999999999997</v>
      </c>
      <c r="H4" s="54">
        <v>0.10086199999999999</v>
      </c>
      <c r="I4" s="55">
        <v>70.469499999999996</v>
      </c>
      <c r="J4" s="55">
        <v>73.828199999999995</v>
      </c>
      <c r="K4" s="54">
        <v>6.2753500000000004E-2</v>
      </c>
      <c r="L4" s="55">
        <v>80.850700000000003</v>
      </c>
      <c r="M4" s="55">
        <v>83.4786</v>
      </c>
      <c r="N4" s="54">
        <v>0.17327500000000001</v>
      </c>
      <c r="O4" s="55">
        <v>76.506299999999996</v>
      </c>
      <c r="P4" s="55">
        <v>83.421000000000006</v>
      </c>
      <c r="Q4" s="54">
        <v>0.31796099999999999</v>
      </c>
      <c r="R4" s="55">
        <v>72.070300000000003</v>
      </c>
      <c r="S4" s="55">
        <v>76.861000000000004</v>
      </c>
      <c r="T4" s="54">
        <v>0.32195299999999999</v>
      </c>
      <c r="U4" s="55">
        <v>72.956900000000005</v>
      </c>
      <c r="V4" s="55">
        <v>76.785600000000002</v>
      </c>
      <c r="W4" s="54">
        <v>0.60350700000000002</v>
      </c>
      <c r="X4" s="55">
        <v>69.633799999999994</v>
      </c>
      <c r="Y4" s="55">
        <v>76.020600000000002</v>
      </c>
      <c r="Z4" s="54">
        <v>0.43895800000000001</v>
      </c>
      <c r="AA4" s="55">
        <v>72.707099999999997</v>
      </c>
      <c r="AB4" s="55">
        <v>76.783600000000007</v>
      </c>
      <c r="AC4" s="54">
        <v>0.39951199999999998</v>
      </c>
      <c r="AD4" s="55">
        <v>62.534100000000002</v>
      </c>
      <c r="AE4" s="55">
        <v>67.028000000000006</v>
      </c>
      <c r="AF4" s="54">
        <v>0.86080299999999998</v>
      </c>
      <c r="AG4" s="55">
        <v>67.585999999999999</v>
      </c>
      <c r="AH4" s="55">
        <v>71.908299999999997</v>
      </c>
      <c r="AI4" s="54">
        <v>1.54796</v>
      </c>
      <c r="AJ4" s="55">
        <v>68.635300000000001</v>
      </c>
      <c r="AK4" s="55">
        <v>78.815700000000007</v>
      </c>
      <c r="AL4" s="54">
        <f t="shared" si="0"/>
        <v>0.14413185000000001</v>
      </c>
      <c r="AM4" s="55">
        <f t="shared" si="1"/>
        <v>73.021850000000001</v>
      </c>
      <c r="AN4" s="55">
        <f t="shared" si="2"/>
        <v>76.412225000000007</v>
      </c>
      <c r="AO4" s="54">
        <f t="shared" si="3"/>
        <v>0.35417399999999999</v>
      </c>
      <c r="AP4" s="55">
        <f t="shared" si="4"/>
        <v>72.791825000000003</v>
      </c>
      <c r="AQ4" s="55">
        <f t="shared" si="5"/>
        <v>78.272049999999993</v>
      </c>
      <c r="AR4" s="54">
        <f t="shared" si="6"/>
        <v>0.81180825000000001</v>
      </c>
      <c r="AS4" s="55">
        <f t="shared" si="7"/>
        <v>67.865624999999994</v>
      </c>
      <c r="AT4" s="64">
        <f t="shared" si="8"/>
        <v>73.633900000000011</v>
      </c>
    </row>
    <row r="5" spans="1:46" x14ac:dyDescent="0.35">
      <c r="A5" s="100"/>
      <c r="B5" s="54">
        <v>0.31084099999999998</v>
      </c>
      <c r="C5" s="55">
        <v>73.610500000000002</v>
      </c>
      <c r="D5" s="55">
        <v>77.735299999999995</v>
      </c>
      <c r="E5" s="54">
        <v>0.534497</v>
      </c>
      <c r="F5" s="55">
        <v>73.192599999999999</v>
      </c>
      <c r="G5" s="55">
        <v>77.609700000000004</v>
      </c>
      <c r="H5" s="54">
        <v>0.337779</v>
      </c>
      <c r="I5" s="55">
        <v>75.300399999999996</v>
      </c>
      <c r="J5" s="55">
        <v>79.656700000000001</v>
      </c>
      <c r="K5" s="54">
        <v>0.20123099999999999</v>
      </c>
      <c r="L5" s="55">
        <v>84.437299999999993</v>
      </c>
      <c r="M5" s="55">
        <v>88.404300000000006</v>
      </c>
      <c r="N5" s="54">
        <v>0.69798899999999997</v>
      </c>
      <c r="O5" s="55">
        <v>76.958399999999997</v>
      </c>
      <c r="P5" s="55">
        <v>85.375299999999996</v>
      </c>
      <c r="Q5" s="54">
        <v>1.7455000000000001</v>
      </c>
      <c r="R5" s="55">
        <v>75.400000000000006</v>
      </c>
      <c r="S5" s="55">
        <v>81.556700000000006</v>
      </c>
      <c r="T5" s="54">
        <v>0.93844000000000005</v>
      </c>
      <c r="U5" s="55">
        <v>76.787800000000004</v>
      </c>
      <c r="V5" s="55">
        <v>82.2</v>
      </c>
      <c r="W5" s="54">
        <v>3.10039</v>
      </c>
      <c r="X5" s="55">
        <v>74.781300000000002</v>
      </c>
      <c r="Y5" s="55">
        <v>80.851100000000002</v>
      </c>
      <c r="Z5" s="54">
        <v>1.2605299999999999</v>
      </c>
      <c r="AA5" s="55">
        <v>75.9559</v>
      </c>
      <c r="AB5" s="55">
        <v>81.683599999999998</v>
      </c>
      <c r="AC5" s="54">
        <v>2.6348199999999999</v>
      </c>
      <c r="AD5" s="55">
        <v>67.993499999999997</v>
      </c>
      <c r="AE5" s="55">
        <v>72.813800000000001</v>
      </c>
      <c r="AF5" s="54">
        <v>4.81135</v>
      </c>
      <c r="AG5" s="55">
        <v>70.676100000000005</v>
      </c>
      <c r="AH5" s="55">
        <v>76.188299999999998</v>
      </c>
      <c r="AI5" s="54">
        <v>4.1375299999999999</v>
      </c>
      <c r="AJ5" s="55">
        <v>69.863399999999999</v>
      </c>
      <c r="AK5" s="55">
        <v>79.193700000000007</v>
      </c>
      <c r="AL5" s="54">
        <f t="shared" si="0"/>
        <v>0.34608699999999998</v>
      </c>
      <c r="AM5" s="55">
        <f t="shared" si="1"/>
        <v>76.635199999999998</v>
      </c>
      <c r="AN5" s="55">
        <f t="shared" si="2"/>
        <v>80.851500000000001</v>
      </c>
      <c r="AO5" s="54">
        <f t="shared" si="3"/>
        <v>1.6205797499999999</v>
      </c>
      <c r="AP5" s="55">
        <f t="shared" si="4"/>
        <v>75.981875000000002</v>
      </c>
      <c r="AQ5" s="55">
        <f t="shared" si="5"/>
        <v>82.495774999999995</v>
      </c>
      <c r="AR5" s="54">
        <f t="shared" si="6"/>
        <v>3.2110574999999999</v>
      </c>
      <c r="AS5" s="55">
        <f t="shared" si="7"/>
        <v>71.122225</v>
      </c>
      <c r="AT5" s="64">
        <f t="shared" si="8"/>
        <v>77.469849999999994</v>
      </c>
    </row>
    <row r="6" spans="1:46" x14ac:dyDescent="0.35">
      <c r="A6" s="101"/>
      <c r="B6" s="56">
        <v>0.782497</v>
      </c>
      <c r="C6" s="57">
        <v>76.100499999999997</v>
      </c>
      <c r="D6" s="57">
        <v>80.425399999999996</v>
      </c>
      <c r="E6" s="56">
        <v>0.83605099999999999</v>
      </c>
      <c r="F6" s="57">
        <v>73.978700000000003</v>
      </c>
      <c r="G6" s="57">
        <v>78.398899999999998</v>
      </c>
      <c r="H6" s="56">
        <v>0.50613200000000003</v>
      </c>
      <c r="I6" s="57">
        <v>76.529200000000003</v>
      </c>
      <c r="J6" s="57">
        <v>81.024699999999996</v>
      </c>
      <c r="K6" s="56">
        <v>0.48477199999999998</v>
      </c>
      <c r="L6" s="57">
        <v>87.140199999999993</v>
      </c>
      <c r="M6" s="57">
        <v>91.717699999999994</v>
      </c>
      <c r="N6" s="56">
        <v>1.25861</v>
      </c>
      <c r="O6" s="57">
        <v>78.367500000000007</v>
      </c>
      <c r="P6" s="57">
        <v>87.691500000000005</v>
      </c>
      <c r="Q6" s="56">
        <v>4.0309999999999997</v>
      </c>
      <c r="R6" s="57">
        <v>77.223299999999995</v>
      </c>
      <c r="S6" s="57">
        <v>83.520899999999997</v>
      </c>
      <c r="T6" s="56">
        <v>2.0606</v>
      </c>
      <c r="U6" s="57">
        <v>78.986400000000003</v>
      </c>
      <c r="V6" s="57">
        <v>84.837400000000002</v>
      </c>
      <c r="W6" s="56">
        <v>7.03085</v>
      </c>
      <c r="X6" s="57">
        <v>76.834699999999998</v>
      </c>
      <c r="Y6" s="57">
        <v>82.938800000000001</v>
      </c>
      <c r="Z6" s="56">
        <v>3.0327500000000001</v>
      </c>
      <c r="AA6" s="57">
        <v>77.027799999999999</v>
      </c>
      <c r="AB6" s="57">
        <v>82.702699999999993</v>
      </c>
      <c r="AC6" s="56">
        <v>5.78993</v>
      </c>
      <c r="AD6" s="57">
        <v>69.701099999999997</v>
      </c>
      <c r="AE6" s="57">
        <v>74.519800000000004</v>
      </c>
      <c r="AF6" s="56">
        <v>6.2473000000000001</v>
      </c>
      <c r="AG6" s="57">
        <v>72.046199999999999</v>
      </c>
      <c r="AH6" s="57">
        <v>78.178100000000001</v>
      </c>
      <c r="AI6" s="56">
        <v>5.4185299999999996</v>
      </c>
      <c r="AJ6" s="57">
        <v>72.531599999999997</v>
      </c>
      <c r="AK6" s="57">
        <v>82.356399999999994</v>
      </c>
      <c r="AL6" s="56">
        <f t="shared" si="0"/>
        <v>0.65236300000000003</v>
      </c>
      <c r="AM6" s="57">
        <f t="shared" si="1"/>
        <v>78.437150000000003</v>
      </c>
      <c r="AN6" s="57">
        <f t="shared" si="2"/>
        <v>82.891674999999992</v>
      </c>
      <c r="AO6" s="56">
        <f t="shared" si="3"/>
        <v>3.5952650000000004</v>
      </c>
      <c r="AP6" s="57">
        <f t="shared" si="4"/>
        <v>77.852975000000001</v>
      </c>
      <c r="AQ6" s="57">
        <f t="shared" si="5"/>
        <v>84.747150000000005</v>
      </c>
      <c r="AR6" s="56">
        <f t="shared" si="6"/>
        <v>5.1221275000000004</v>
      </c>
      <c r="AS6" s="57">
        <f t="shared" si="7"/>
        <v>72.826674999999994</v>
      </c>
      <c r="AT6" s="65">
        <f t="shared" si="8"/>
        <v>79.439250000000001</v>
      </c>
    </row>
    <row r="7" spans="1:46" x14ac:dyDescent="0.35">
      <c r="A7" s="99" t="s">
        <v>172</v>
      </c>
      <c r="B7" s="52">
        <v>1.28348E-2</v>
      </c>
      <c r="C7" s="53">
        <v>56.3889</v>
      </c>
      <c r="D7" s="53">
        <v>57.973500000000001</v>
      </c>
      <c r="E7" s="52">
        <v>5.73059E-2</v>
      </c>
      <c r="F7" s="53">
        <v>57.8431</v>
      </c>
      <c r="G7" s="53">
        <v>60.577599999999997</v>
      </c>
      <c r="H7" s="52">
        <v>2.81409E-2</v>
      </c>
      <c r="I7" s="53">
        <v>57.624499999999998</v>
      </c>
      <c r="J7" s="53">
        <v>59.3489</v>
      </c>
      <c r="K7" s="52">
        <v>1.7775099999999999E-2</v>
      </c>
      <c r="L7" s="53">
        <v>69.225499999999997</v>
      </c>
      <c r="M7" s="53">
        <v>69.975200000000001</v>
      </c>
      <c r="N7" s="52">
        <v>3.2544299999999998E-2</v>
      </c>
      <c r="O7" s="53">
        <v>68.984899999999996</v>
      </c>
      <c r="P7" s="53">
        <v>70.052700000000002</v>
      </c>
      <c r="Q7" s="52">
        <v>5.8081800000000003E-2</v>
      </c>
      <c r="R7" s="53">
        <v>66.991600000000005</v>
      </c>
      <c r="S7" s="53">
        <v>69.205200000000005</v>
      </c>
      <c r="T7" s="52">
        <v>5.2422999999999997E-2</v>
      </c>
      <c r="U7" s="53">
        <v>67.219099999999997</v>
      </c>
      <c r="V7" s="53">
        <v>69.714299999999994</v>
      </c>
      <c r="W7" s="52">
        <v>0.12606300000000001</v>
      </c>
      <c r="X7" s="53">
        <v>66.121300000000005</v>
      </c>
      <c r="Y7" s="53">
        <v>68.290300000000002</v>
      </c>
      <c r="Z7" s="52">
        <v>7.7365000000000003E-2</v>
      </c>
      <c r="AA7" s="53">
        <v>68.4893</v>
      </c>
      <c r="AB7" s="53">
        <v>71.017700000000005</v>
      </c>
      <c r="AC7" s="52">
        <v>0.114735</v>
      </c>
      <c r="AD7" s="53">
        <v>58.887799999999999</v>
      </c>
      <c r="AE7" s="53">
        <v>62.846299999999999</v>
      </c>
      <c r="AF7" s="52">
        <v>0.174479</v>
      </c>
      <c r="AG7" s="53">
        <v>63.620199999999997</v>
      </c>
      <c r="AH7" s="53">
        <v>66.596000000000004</v>
      </c>
      <c r="AI7" s="52">
        <v>0.34598000000000001</v>
      </c>
      <c r="AJ7" s="53">
        <v>64.742000000000004</v>
      </c>
      <c r="AK7" s="53">
        <v>69.561300000000003</v>
      </c>
      <c r="AL7" s="52">
        <f t="shared" si="0"/>
        <v>2.9014175E-2</v>
      </c>
      <c r="AM7" s="53">
        <f t="shared" si="1"/>
        <v>60.270499999999998</v>
      </c>
      <c r="AN7" s="53">
        <f t="shared" si="2"/>
        <v>61.968799999999995</v>
      </c>
      <c r="AO7" s="52">
        <f t="shared" si="3"/>
        <v>6.7278024999999991E-2</v>
      </c>
      <c r="AP7" s="53">
        <f t="shared" si="4"/>
        <v>67.329225000000008</v>
      </c>
      <c r="AQ7" s="53">
        <f t="shared" si="5"/>
        <v>69.315624999999997</v>
      </c>
      <c r="AR7" s="52">
        <f t="shared" si="6"/>
        <v>0.17813975000000001</v>
      </c>
      <c r="AS7" s="53">
        <f t="shared" si="7"/>
        <v>63.934825000000004</v>
      </c>
      <c r="AT7" s="63">
        <f t="shared" si="8"/>
        <v>67.505324999999999</v>
      </c>
    </row>
    <row r="8" spans="1:46" x14ac:dyDescent="0.35">
      <c r="A8" s="100"/>
      <c r="B8" s="54">
        <v>8.4764599999999996E-2</v>
      </c>
      <c r="C8" s="55">
        <v>62.872799999999998</v>
      </c>
      <c r="D8" s="55">
        <v>67.840100000000007</v>
      </c>
      <c r="E8" s="54">
        <v>0.327677</v>
      </c>
      <c r="F8" s="55">
        <v>71.897400000000005</v>
      </c>
      <c r="G8" s="55">
        <v>76.287999999999997</v>
      </c>
      <c r="H8" s="54">
        <v>0.10026</v>
      </c>
      <c r="I8" s="55">
        <v>63.035899999999998</v>
      </c>
      <c r="J8" s="55">
        <v>67.979200000000006</v>
      </c>
      <c r="K8" s="54">
        <v>6.2147800000000003E-2</v>
      </c>
      <c r="L8" s="55">
        <v>74.859899999999996</v>
      </c>
      <c r="M8" s="55">
        <v>78.567400000000006</v>
      </c>
      <c r="N8" s="54">
        <v>0.17141999999999999</v>
      </c>
      <c r="O8" s="55">
        <v>74.704599999999999</v>
      </c>
      <c r="P8" s="55">
        <v>78.9268</v>
      </c>
      <c r="Q8" s="54">
        <v>0.315056</v>
      </c>
      <c r="R8" s="55">
        <v>71.268500000000003</v>
      </c>
      <c r="S8" s="55">
        <v>75.004300000000001</v>
      </c>
      <c r="T8" s="54">
        <v>0.32195299999999999</v>
      </c>
      <c r="U8" s="55">
        <v>72.956900000000005</v>
      </c>
      <c r="V8" s="55">
        <v>76.785600000000002</v>
      </c>
      <c r="W8" s="54">
        <v>0.59870000000000001</v>
      </c>
      <c r="X8" s="55">
        <v>70.407200000000003</v>
      </c>
      <c r="Y8" s="55">
        <v>74.969700000000003</v>
      </c>
      <c r="Z8" s="54">
        <v>0.43895800000000001</v>
      </c>
      <c r="AA8" s="55">
        <v>72.707099999999997</v>
      </c>
      <c r="AB8" s="55">
        <v>76.783600000000007</v>
      </c>
      <c r="AC8" s="54">
        <v>0.39951199999999998</v>
      </c>
      <c r="AD8" s="55">
        <v>62.534100000000002</v>
      </c>
      <c r="AE8" s="55">
        <v>67.028000000000006</v>
      </c>
      <c r="AF8" s="54">
        <v>0.86080299999999998</v>
      </c>
      <c r="AG8" s="55">
        <v>67.585999999999999</v>
      </c>
      <c r="AH8" s="55">
        <v>71.908299999999997</v>
      </c>
      <c r="AI8" s="54">
        <v>1.54796</v>
      </c>
      <c r="AJ8" s="55">
        <v>68.635300000000001</v>
      </c>
      <c r="AK8" s="55">
        <v>78.815700000000007</v>
      </c>
      <c r="AL8" s="54">
        <f t="shared" si="0"/>
        <v>0.14371234999999999</v>
      </c>
      <c r="AM8" s="55">
        <f t="shared" si="1"/>
        <v>68.166499999999999</v>
      </c>
      <c r="AN8" s="55">
        <f t="shared" si="2"/>
        <v>72.668675000000007</v>
      </c>
      <c r="AO8" s="54">
        <f t="shared" si="3"/>
        <v>0.35178224999999996</v>
      </c>
      <c r="AP8" s="55">
        <f t="shared" si="4"/>
        <v>72.334299999999999</v>
      </c>
      <c r="AQ8" s="55">
        <f t="shared" si="5"/>
        <v>76.421599999999998</v>
      </c>
      <c r="AR8" s="54">
        <f t="shared" si="6"/>
        <v>0.81180825000000001</v>
      </c>
      <c r="AS8" s="55">
        <f t="shared" si="7"/>
        <v>67.865624999999994</v>
      </c>
      <c r="AT8" s="64">
        <f t="shared" si="8"/>
        <v>73.633900000000011</v>
      </c>
    </row>
    <row r="9" spans="1:46" x14ac:dyDescent="0.35">
      <c r="A9" s="100"/>
      <c r="B9" s="54">
        <v>0.31084099999999998</v>
      </c>
      <c r="C9" s="55">
        <v>73.610500000000002</v>
      </c>
      <c r="D9" s="55">
        <v>77.735299999999995</v>
      </c>
      <c r="E9" s="54">
        <v>0.534497</v>
      </c>
      <c r="F9" s="55">
        <v>73.192599999999999</v>
      </c>
      <c r="G9" s="55">
        <v>77.609700000000004</v>
      </c>
      <c r="H9" s="54">
        <v>0.337779</v>
      </c>
      <c r="I9" s="55">
        <v>75.300399999999996</v>
      </c>
      <c r="J9" s="55">
        <v>79.656700000000001</v>
      </c>
      <c r="K9" s="54">
        <v>0.20123099999999999</v>
      </c>
      <c r="L9" s="55">
        <v>84.437299999999993</v>
      </c>
      <c r="M9" s="55">
        <v>88.404300000000006</v>
      </c>
      <c r="N9" s="54">
        <v>0.69613899999999995</v>
      </c>
      <c r="O9" s="55">
        <v>75.075699999999998</v>
      </c>
      <c r="P9" s="55">
        <v>79.736099999999993</v>
      </c>
      <c r="Q9" s="54">
        <v>1.7455000000000001</v>
      </c>
      <c r="R9" s="55">
        <v>75.400000000000006</v>
      </c>
      <c r="S9" s="55">
        <v>81.556700000000006</v>
      </c>
      <c r="T9" s="54">
        <v>0.93844000000000005</v>
      </c>
      <c r="U9" s="55">
        <v>76.787800000000004</v>
      </c>
      <c r="V9" s="55">
        <v>82.2</v>
      </c>
      <c r="W9" s="54">
        <v>3.10039</v>
      </c>
      <c r="X9" s="55">
        <v>74.781300000000002</v>
      </c>
      <c r="Y9" s="55">
        <v>80.851100000000002</v>
      </c>
      <c r="Z9" s="54">
        <v>1.2605299999999999</v>
      </c>
      <c r="AA9" s="55">
        <v>75.9559</v>
      </c>
      <c r="AB9" s="55">
        <v>81.683599999999998</v>
      </c>
      <c r="AC9" s="54">
        <v>2.6348199999999999</v>
      </c>
      <c r="AD9" s="55">
        <v>67.993499999999997</v>
      </c>
      <c r="AE9" s="55">
        <v>72.813800000000001</v>
      </c>
      <c r="AF9" s="54">
        <v>4.8018999999999998</v>
      </c>
      <c r="AG9" s="55">
        <v>69.897099999999995</v>
      </c>
      <c r="AH9" s="55">
        <v>75.021299999999997</v>
      </c>
      <c r="AI9" s="54">
        <v>4.1375299999999999</v>
      </c>
      <c r="AJ9" s="55">
        <v>69.863399999999999</v>
      </c>
      <c r="AK9" s="55">
        <v>79.193700000000007</v>
      </c>
      <c r="AL9" s="54">
        <f t="shared" si="0"/>
        <v>0.34608699999999998</v>
      </c>
      <c r="AM9" s="55">
        <f t="shared" si="1"/>
        <v>76.635199999999998</v>
      </c>
      <c r="AN9" s="55">
        <f t="shared" si="2"/>
        <v>80.851500000000001</v>
      </c>
      <c r="AO9" s="54">
        <f t="shared" si="3"/>
        <v>1.6201172499999998</v>
      </c>
      <c r="AP9" s="55">
        <f t="shared" si="4"/>
        <v>75.511200000000002</v>
      </c>
      <c r="AQ9" s="55">
        <f t="shared" si="5"/>
        <v>81.085975000000005</v>
      </c>
      <c r="AR9" s="54">
        <f t="shared" si="6"/>
        <v>3.2086949999999996</v>
      </c>
      <c r="AS9" s="55">
        <f t="shared" si="7"/>
        <v>70.927475000000001</v>
      </c>
      <c r="AT9" s="64">
        <f t="shared" si="8"/>
        <v>77.178100000000001</v>
      </c>
    </row>
    <row r="10" spans="1:46" x14ac:dyDescent="0.35">
      <c r="A10" s="101"/>
      <c r="B10" s="56">
        <v>0.782497</v>
      </c>
      <c r="C10" s="57">
        <v>76.100499999999997</v>
      </c>
      <c r="D10" s="57">
        <v>80.425399999999996</v>
      </c>
      <c r="E10" s="56">
        <v>0.83605099999999999</v>
      </c>
      <c r="F10" s="57">
        <v>73.978700000000003</v>
      </c>
      <c r="G10" s="57">
        <v>78.398899999999998</v>
      </c>
      <c r="H10" s="56">
        <v>0.50613200000000003</v>
      </c>
      <c r="I10" s="57">
        <v>76.529200000000003</v>
      </c>
      <c r="J10" s="57">
        <v>81.024699999999996</v>
      </c>
      <c r="K10" s="56">
        <v>0.48477199999999998</v>
      </c>
      <c r="L10" s="57">
        <v>87.140199999999993</v>
      </c>
      <c r="M10" s="57">
        <v>91.717699999999994</v>
      </c>
      <c r="N10" s="56">
        <v>1.25861</v>
      </c>
      <c r="O10" s="57">
        <v>78.367500000000007</v>
      </c>
      <c r="P10" s="57">
        <v>87.691500000000005</v>
      </c>
      <c r="Q10" s="56">
        <v>4.0309999999999997</v>
      </c>
      <c r="R10" s="57">
        <v>77.223299999999995</v>
      </c>
      <c r="S10" s="57">
        <v>83.520899999999997</v>
      </c>
      <c r="T10" s="56">
        <v>2.0556000000000001</v>
      </c>
      <c r="U10" s="57">
        <v>78.263199999999998</v>
      </c>
      <c r="V10" s="57">
        <v>83.304400000000001</v>
      </c>
      <c r="W10" s="56">
        <v>7.03085</v>
      </c>
      <c r="X10" s="57">
        <v>76.834699999999998</v>
      </c>
      <c r="Y10" s="57">
        <v>82.938800000000001</v>
      </c>
      <c r="Z10" s="56">
        <v>3.0327500000000001</v>
      </c>
      <c r="AA10" s="57">
        <v>77.027799999999999</v>
      </c>
      <c r="AB10" s="57">
        <v>82.702699999999993</v>
      </c>
      <c r="AC10" s="56">
        <v>5.78993</v>
      </c>
      <c r="AD10" s="57">
        <v>69.701099999999997</v>
      </c>
      <c r="AE10" s="57">
        <v>74.519800000000004</v>
      </c>
      <c r="AF10" s="56">
        <v>6.2473000000000001</v>
      </c>
      <c r="AG10" s="57">
        <v>72.046199999999999</v>
      </c>
      <c r="AH10" s="57">
        <v>78.178100000000001</v>
      </c>
      <c r="AI10" s="56">
        <v>5.4185299999999996</v>
      </c>
      <c r="AJ10" s="57">
        <v>72.531599999999997</v>
      </c>
      <c r="AK10" s="57">
        <v>82.356399999999994</v>
      </c>
      <c r="AL10" s="56">
        <f t="shared" si="0"/>
        <v>0.65236300000000003</v>
      </c>
      <c r="AM10" s="57">
        <f t="shared" si="1"/>
        <v>78.437150000000003</v>
      </c>
      <c r="AN10" s="57">
        <f t="shared" si="2"/>
        <v>82.891674999999992</v>
      </c>
      <c r="AO10" s="56">
        <f t="shared" si="3"/>
        <v>3.5940150000000002</v>
      </c>
      <c r="AP10" s="57">
        <f t="shared" si="4"/>
        <v>77.672174999999996</v>
      </c>
      <c r="AQ10" s="57">
        <f t="shared" si="5"/>
        <v>84.363900000000001</v>
      </c>
      <c r="AR10" s="56">
        <f t="shared" si="6"/>
        <v>5.1221275000000004</v>
      </c>
      <c r="AS10" s="57">
        <f t="shared" si="7"/>
        <v>72.826674999999994</v>
      </c>
      <c r="AT10" s="65">
        <f t="shared" si="8"/>
        <v>79.439250000000001</v>
      </c>
    </row>
    <row r="11" spans="1:46" x14ac:dyDescent="0.35">
      <c r="A11" s="99" t="s">
        <v>152</v>
      </c>
      <c r="B11" s="52">
        <v>1.77E-2</v>
      </c>
      <c r="C11" s="53">
        <v>52.777700000000003</v>
      </c>
      <c r="D11" s="53">
        <v>56.592599999999997</v>
      </c>
      <c r="E11" s="52">
        <v>2.18E-2</v>
      </c>
      <c r="F11" s="53">
        <v>52.802799999999998</v>
      </c>
      <c r="G11" s="53">
        <v>56.707900000000002</v>
      </c>
      <c r="H11" s="52">
        <v>2.2700000000000001E-2</v>
      </c>
      <c r="I11" s="53">
        <v>52.799300000000002</v>
      </c>
      <c r="J11" s="53">
        <v>55.9739</v>
      </c>
      <c r="K11" s="52">
        <v>2.0999999999999999E-3</v>
      </c>
      <c r="L11" s="53">
        <v>52.946800000000003</v>
      </c>
      <c r="M11" s="53">
        <v>55.1205</v>
      </c>
      <c r="N11" s="52">
        <v>5.7999999999999996E-3</v>
      </c>
      <c r="O11" s="53">
        <v>52.927199999999999</v>
      </c>
      <c r="P11" s="53">
        <v>54.813899999999997</v>
      </c>
      <c r="Q11" s="52">
        <v>6.8999999999999999E-3</v>
      </c>
      <c r="R11" s="53">
        <v>52.921999999999997</v>
      </c>
      <c r="S11" s="53">
        <v>56.801200000000001</v>
      </c>
      <c r="T11" s="52">
        <v>4.4999999999999997E-3</v>
      </c>
      <c r="U11" s="53">
        <v>52.835700000000003</v>
      </c>
      <c r="V11" s="53">
        <v>56.701900000000002</v>
      </c>
      <c r="W11" s="52">
        <v>1.9E-2</v>
      </c>
      <c r="X11" s="53">
        <v>52.928100000000001</v>
      </c>
      <c r="Y11" s="53">
        <v>56.4467</v>
      </c>
      <c r="Z11" s="52">
        <v>3.7000000000000002E-3</v>
      </c>
      <c r="AA11" s="53">
        <v>53.268799999999999</v>
      </c>
      <c r="AB11" s="53">
        <v>58.840499999999999</v>
      </c>
      <c r="AC11" s="52">
        <v>6.4100000000000004E-2</v>
      </c>
      <c r="AD11" s="53">
        <v>52.947499999999998</v>
      </c>
      <c r="AE11" s="53">
        <v>58.539900000000003</v>
      </c>
      <c r="AF11" s="52">
        <v>3.78E-2</v>
      </c>
      <c r="AG11" s="53">
        <v>52.933199999999999</v>
      </c>
      <c r="AH11" s="53">
        <v>57.259500000000003</v>
      </c>
      <c r="AI11" s="52">
        <v>1.5900000000000001E-2</v>
      </c>
      <c r="AJ11" s="53">
        <v>53.705800000000004</v>
      </c>
      <c r="AK11" s="53">
        <v>58.351900000000001</v>
      </c>
      <c r="AL11" s="52">
        <f t="shared" si="0"/>
        <v>1.6074999999999999E-2</v>
      </c>
      <c r="AM11" s="53">
        <f t="shared" si="1"/>
        <v>52.831650000000003</v>
      </c>
      <c r="AN11" s="53">
        <f t="shared" si="2"/>
        <v>56.098725000000002</v>
      </c>
      <c r="AO11" s="52">
        <f t="shared" si="3"/>
        <v>9.049999999999999E-3</v>
      </c>
      <c r="AP11" s="53">
        <f t="shared" si="4"/>
        <v>52.90325</v>
      </c>
      <c r="AQ11" s="53">
        <f t="shared" si="5"/>
        <v>56.190925</v>
      </c>
      <c r="AR11" s="52">
        <f t="shared" si="6"/>
        <v>3.0374999999999999E-2</v>
      </c>
      <c r="AS11" s="53">
        <f t="shared" si="7"/>
        <v>53.213825</v>
      </c>
      <c r="AT11" s="63">
        <f t="shared" si="8"/>
        <v>58.247949999999996</v>
      </c>
    </row>
    <row r="12" spans="1:46" x14ac:dyDescent="0.35">
      <c r="A12" s="100"/>
      <c r="B12" s="54">
        <v>5.7500000000000002E-2</v>
      </c>
      <c r="C12" s="55">
        <v>58.441200000000002</v>
      </c>
      <c r="D12" s="55">
        <v>63.193800000000003</v>
      </c>
      <c r="E12" s="54">
        <v>7.3800000000000004E-2</v>
      </c>
      <c r="F12" s="55">
        <v>58.439799999999998</v>
      </c>
      <c r="G12" s="55">
        <v>63.4</v>
      </c>
      <c r="H12" s="54">
        <v>7.1999999999999995E-2</v>
      </c>
      <c r="I12" s="55">
        <v>58.431199999999997</v>
      </c>
      <c r="J12" s="55">
        <v>62.639299999999999</v>
      </c>
      <c r="K12" s="54">
        <v>6.7999999999999996E-3</v>
      </c>
      <c r="L12" s="55">
        <v>58.908099999999997</v>
      </c>
      <c r="M12" s="55">
        <v>61.260399999999997</v>
      </c>
      <c r="N12" s="54">
        <v>1.77E-2</v>
      </c>
      <c r="O12" s="55">
        <v>58.9011</v>
      </c>
      <c r="P12" s="55">
        <v>61.107399999999998</v>
      </c>
      <c r="Q12" s="54">
        <v>2.7400000000000001E-2</v>
      </c>
      <c r="R12" s="55">
        <v>58.925199999999997</v>
      </c>
      <c r="S12" s="55">
        <v>63.095599999999997</v>
      </c>
      <c r="T12" s="54">
        <v>1.5800000000000002E-2</v>
      </c>
      <c r="U12" s="55">
        <v>58.746899999999997</v>
      </c>
      <c r="V12" s="55">
        <v>62.957599999999999</v>
      </c>
      <c r="W12" s="54">
        <v>7.6100000000000001E-2</v>
      </c>
      <c r="X12" s="55">
        <v>58.916899999999998</v>
      </c>
      <c r="Y12" s="55">
        <v>62.709699999999998</v>
      </c>
      <c r="Z12" s="54">
        <v>1.44E-2</v>
      </c>
      <c r="AA12" s="55">
        <v>59.0867</v>
      </c>
      <c r="AB12" s="55">
        <v>64.398099999999999</v>
      </c>
      <c r="AC12" s="54">
        <v>0.30630000000000002</v>
      </c>
      <c r="AD12" s="55">
        <v>58.923900000000003</v>
      </c>
      <c r="AE12" s="55">
        <v>64.319000000000003</v>
      </c>
      <c r="AF12" s="54">
        <v>0.1681</v>
      </c>
      <c r="AG12" s="55">
        <v>58.9221</v>
      </c>
      <c r="AH12" s="55">
        <v>63.4925</v>
      </c>
      <c r="AI12" s="54">
        <v>6.3200000000000006E-2</v>
      </c>
      <c r="AJ12" s="55">
        <v>59.457299999999996</v>
      </c>
      <c r="AK12" s="55">
        <v>63.880899999999997</v>
      </c>
      <c r="AL12" s="54">
        <f t="shared" si="0"/>
        <v>5.2525000000000002E-2</v>
      </c>
      <c r="AM12" s="55">
        <f t="shared" si="1"/>
        <v>58.555074999999995</v>
      </c>
      <c r="AN12" s="55">
        <f t="shared" si="2"/>
        <v>62.623375000000003</v>
      </c>
      <c r="AO12" s="54">
        <f t="shared" si="3"/>
        <v>3.4250000000000003E-2</v>
      </c>
      <c r="AP12" s="55">
        <f t="shared" si="4"/>
        <v>58.872524999999996</v>
      </c>
      <c r="AQ12" s="55">
        <f t="shared" si="5"/>
        <v>62.467574999999997</v>
      </c>
      <c r="AR12" s="54">
        <f t="shared" si="6"/>
        <v>0.13800000000000001</v>
      </c>
      <c r="AS12" s="55">
        <f t="shared" si="7"/>
        <v>59.097500000000004</v>
      </c>
      <c r="AT12" s="64">
        <f t="shared" si="8"/>
        <v>64.022625000000005</v>
      </c>
    </row>
    <row r="13" spans="1:46" x14ac:dyDescent="0.35">
      <c r="A13" s="100"/>
      <c r="B13" s="54">
        <v>0.2016</v>
      </c>
      <c r="C13" s="55">
        <v>63.212400000000002</v>
      </c>
      <c r="D13" s="55">
        <v>68.362700000000004</v>
      </c>
      <c r="E13" s="54">
        <v>0.26869999999999999</v>
      </c>
      <c r="F13" s="55">
        <v>63.2072</v>
      </c>
      <c r="G13" s="55">
        <v>68.448300000000003</v>
      </c>
      <c r="H13" s="54">
        <v>0.2208</v>
      </c>
      <c r="I13" s="55">
        <v>63.209299999999999</v>
      </c>
      <c r="J13" s="55">
        <v>68.544499999999999</v>
      </c>
      <c r="K13" s="54">
        <v>2.1100000000000001E-2</v>
      </c>
      <c r="L13" s="55">
        <v>64.837800000000001</v>
      </c>
      <c r="M13" s="55">
        <v>67.684100000000001</v>
      </c>
      <c r="N13" s="54">
        <v>5.6000000000000001E-2</v>
      </c>
      <c r="O13" s="55">
        <v>64.844200000000001</v>
      </c>
      <c r="P13" s="55">
        <v>67.6327</v>
      </c>
      <c r="Q13" s="54">
        <v>0.1239</v>
      </c>
      <c r="R13" s="55">
        <v>64.837900000000005</v>
      </c>
      <c r="S13" s="55">
        <v>69.328400000000002</v>
      </c>
      <c r="T13" s="54">
        <v>6.4500000000000002E-2</v>
      </c>
      <c r="U13" s="55">
        <v>64.9619</v>
      </c>
      <c r="V13" s="55">
        <v>69.330799999999996</v>
      </c>
      <c r="W13" s="54">
        <v>0.29630000000000001</v>
      </c>
      <c r="X13" s="55">
        <v>64.841700000000003</v>
      </c>
      <c r="Y13" s="55">
        <v>69.111599999999996</v>
      </c>
      <c r="Z13" s="54">
        <v>6.7900000000000002E-2</v>
      </c>
      <c r="AA13" s="55">
        <v>64.966399999999993</v>
      </c>
      <c r="AB13" s="55">
        <v>69.886600000000001</v>
      </c>
      <c r="AC13" s="54">
        <v>1.2226999999999999</v>
      </c>
      <c r="AD13" s="55">
        <v>64.843299999999999</v>
      </c>
      <c r="AE13" s="55">
        <v>70.022599999999997</v>
      </c>
      <c r="AF13" s="54">
        <v>0.81489999999999996</v>
      </c>
      <c r="AG13" s="55">
        <v>64.835800000000006</v>
      </c>
      <c r="AH13" s="55">
        <v>69.654600000000002</v>
      </c>
      <c r="AI13" s="54">
        <v>0.4153</v>
      </c>
      <c r="AJ13" s="55">
        <v>65.432100000000005</v>
      </c>
      <c r="AK13" s="55">
        <v>70.595799999999997</v>
      </c>
      <c r="AL13" s="54">
        <f t="shared" si="0"/>
        <v>0.17804999999999999</v>
      </c>
      <c r="AM13" s="55">
        <f t="shared" si="1"/>
        <v>63.616675000000001</v>
      </c>
      <c r="AN13" s="55">
        <f t="shared" si="2"/>
        <v>68.259900000000002</v>
      </c>
      <c r="AO13" s="54">
        <f t="shared" si="3"/>
        <v>0.13517499999999999</v>
      </c>
      <c r="AP13" s="55">
        <f t="shared" si="4"/>
        <v>64.871425000000002</v>
      </c>
      <c r="AQ13" s="55">
        <f t="shared" si="5"/>
        <v>68.850875000000002</v>
      </c>
      <c r="AR13" s="54">
        <f t="shared" si="6"/>
        <v>0.63019999999999987</v>
      </c>
      <c r="AS13" s="55">
        <f t="shared" si="7"/>
        <v>65.01939999999999</v>
      </c>
      <c r="AT13" s="64">
        <f t="shared" si="8"/>
        <v>70.039900000000003</v>
      </c>
    </row>
    <row r="14" spans="1:46" x14ac:dyDescent="0.35">
      <c r="A14" s="100"/>
      <c r="B14" s="54">
        <v>0.47110000000000002</v>
      </c>
      <c r="C14" s="55">
        <v>67.983599999999996</v>
      </c>
      <c r="D14" s="55">
        <v>72.961600000000004</v>
      </c>
      <c r="E14" s="54">
        <v>0.70650000000000002</v>
      </c>
      <c r="F14" s="55">
        <v>67.982200000000006</v>
      </c>
      <c r="G14" s="55">
        <v>73.040000000000006</v>
      </c>
      <c r="H14" s="54">
        <v>0.48499999999999999</v>
      </c>
      <c r="I14" s="55">
        <v>67.973600000000005</v>
      </c>
      <c r="J14" s="55">
        <v>73.040599999999998</v>
      </c>
      <c r="K14" s="54">
        <v>6.6600000000000006E-2</v>
      </c>
      <c r="L14" s="55">
        <v>70.486900000000006</v>
      </c>
      <c r="M14" s="55">
        <v>74.2286</v>
      </c>
      <c r="N14" s="54">
        <v>0.18609999999999999</v>
      </c>
      <c r="O14" s="55">
        <v>70.486900000000006</v>
      </c>
      <c r="P14" s="55">
        <v>74.2179</v>
      </c>
      <c r="Q14" s="54">
        <v>0.59919999999999995</v>
      </c>
      <c r="R14" s="55">
        <v>70.483199999999997</v>
      </c>
      <c r="S14" s="55">
        <v>75.275899999999993</v>
      </c>
      <c r="T14" s="54">
        <v>0.28129999999999999</v>
      </c>
      <c r="U14" s="55">
        <v>70.854200000000006</v>
      </c>
      <c r="V14" s="55">
        <v>75.535600000000002</v>
      </c>
      <c r="W14" s="54">
        <v>1.2042999999999999</v>
      </c>
      <c r="X14" s="55">
        <v>70.483900000000006</v>
      </c>
      <c r="Y14" s="55">
        <v>75.057199999999995</v>
      </c>
      <c r="Z14" s="54">
        <v>0.34870000000000001</v>
      </c>
      <c r="AA14" s="55">
        <v>70.841499999999996</v>
      </c>
      <c r="AB14" s="55">
        <v>75.717399999999998</v>
      </c>
      <c r="AC14" s="54">
        <v>3.3864000000000001</v>
      </c>
      <c r="AD14" s="55">
        <v>70.483199999999997</v>
      </c>
      <c r="AE14" s="55">
        <v>75.438000000000002</v>
      </c>
      <c r="AF14" s="54">
        <v>3.1362000000000001</v>
      </c>
      <c r="AG14" s="55">
        <v>70.477099999999993</v>
      </c>
      <c r="AH14" s="55">
        <v>75.254400000000004</v>
      </c>
      <c r="AI14" s="54">
        <v>2.3458000000000001</v>
      </c>
      <c r="AJ14" s="55">
        <v>71.336799999999997</v>
      </c>
      <c r="AK14" s="55">
        <v>77.03</v>
      </c>
      <c r="AL14" s="54">
        <f t="shared" si="0"/>
        <v>0.43230000000000002</v>
      </c>
      <c r="AM14" s="55">
        <f t="shared" si="1"/>
        <v>68.606575000000007</v>
      </c>
      <c r="AN14" s="55">
        <f t="shared" si="2"/>
        <v>73.317700000000002</v>
      </c>
      <c r="AO14" s="54">
        <f t="shared" si="3"/>
        <v>0.56772499999999992</v>
      </c>
      <c r="AP14" s="55">
        <f t="shared" si="4"/>
        <v>70.57705</v>
      </c>
      <c r="AQ14" s="55">
        <f t="shared" si="5"/>
        <v>75.021649999999994</v>
      </c>
      <c r="AR14" s="54">
        <f t="shared" si="6"/>
        <v>2.3042750000000005</v>
      </c>
      <c r="AS14" s="55">
        <f t="shared" si="7"/>
        <v>70.784649999999999</v>
      </c>
      <c r="AT14" s="64">
        <f t="shared" si="8"/>
        <v>75.859949999999998</v>
      </c>
    </row>
    <row r="15" spans="1:46" x14ac:dyDescent="0.35">
      <c r="A15" s="100"/>
      <c r="B15" s="54">
        <v>0.65669999999999995</v>
      </c>
      <c r="C15" s="55">
        <v>69.679699999999997</v>
      </c>
      <c r="D15" s="55">
        <v>74.494600000000005</v>
      </c>
      <c r="E15" s="54">
        <v>0.96930000000000005</v>
      </c>
      <c r="F15" s="55">
        <v>69.704800000000006</v>
      </c>
      <c r="G15" s="55">
        <v>74.611900000000006</v>
      </c>
      <c r="H15" s="54">
        <v>0.61709999999999998</v>
      </c>
      <c r="I15" s="55">
        <v>69.7012</v>
      </c>
      <c r="J15" s="55">
        <v>74.604799999999997</v>
      </c>
      <c r="K15" s="54">
        <v>0.2243</v>
      </c>
      <c r="L15" s="55">
        <v>75.255300000000005</v>
      </c>
      <c r="M15" s="55">
        <v>80.084699999999998</v>
      </c>
      <c r="N15" s="54">
        <v>0.65900000000000003</v>
      </c>
      <c r="O15" s="55">
        <v>75.249600000000001</v>
      </c>
      <c r="P15" s="55">
        <v>80.0047</v>
      </c>
      <c r="Q15" s="54">
        <v>2.2402000000000002</v>
      </c>
      <c r="R15" s="55">
        <v>75.254000000000005</v>
      </c>
      <c r="S15" s="55">
        <v>79.942300000000003</v>
      </c>
      <c r="T15" s="54">
        <v>1.0789</v>
      </c>
      <c r="U15" s="55">
        <v>76.496099999999998</v>
      </c>
      <c r="V15" s="55">
        <v>81.386700000000005</v>
      </c>
      <c r="W15" s="54">
        <v>3.6501999999999999</v>
      </c>
      <c r="X15" s="55">
        <v>75.251199999999997</v>
      </c>
      <c r="Y15" s="55">
        <v>79.418099999999995</v>
      </c>
      <c r="Z15" s="54">
        <v>1.5933999999999999</v>
      </c>
      <c r="AA15" s="55">
        <v>76.513900000000007</v>
      </c>
      <c r="AB15" s="55">
        <v>81.344899999999996</v>
      </c>
      <c r="AC15" s="54">
        <v>6.5224000000000002</v>
      </c>
      <c r="AD15" s="55">
        <v>75.250799999999998</v>
      </c>
      <c r="AE15" s="55">
        <v>80.182599999999994</v>
      </c>
      <c r="AF15" s="54">
        <v>6.1912000000000003</v>
      </c>
      <c r="AG15" s="55">
        <v>75.260199999999998</v>
      </c>
      <c r="AH15" s="55">
        <v>79.557500000000005</v>
      </c>
      <c r="AI15" s="54">
        <v>5.1742999999999997</v>
      </c>
      <c r="AJ15" s="55">
        <v>76.990499999999997</v>
      </c>
      <c r="AK15" s="55">
        <v>82.963999999999999</v>
      </c>
      <c r="AL15" s="54">
        <f t="shared" si="0"/>
        <v>0.61685000000000001</v>
      </c>
      <c r="AM15" s="55">
        <f t="shared" si="1"/>
        <v>71.085250000000002</v>
      </c>
      <c r="AN15" s="55">
        <f t="shared" si="2"/>
        <v>75.948999999999998</v>
      </c>
      <c r="AO15" s="54">
        <f t="shared" si="3"/>
        <v>1.9070749999999999</v>
      </c>
      <c r="AP15" s="55">
        <f t="shared" si="4"/>
        <v>75.562725</v>
      </c>
      <c r="AQ15" s="55">
        <f t="shared" si="5"/>
        <v>80.187950000000001</v>
      </c>
      <c r="AR15" s="54">
        <f t="shared" si="6"/>
        <v>4.8703249999999993</v>
      </c>
      <c r="AS15" s="55">
        <f t="shared" si="7"/>
        <v>76.00385</v>
      </c>
      <c r="AT15" s="64">
        <f t="shared" si="8"/>
        <v>81.012249999999995</v>
      </c>
    </row>
    <row r="16" spans="1:46" x14ac:dyDescent="0.35">
      <c r="A16" s="101"/>
      <c r="B16" s="56">
        <v>0.74280000000000002</v>
      </c>
      <c r="C16" s="57">
        <v>70.366100000000003</v>
      </c>
      <c r="D16" s="57">
        <v>75.128500000000003</v>
      </c>
      <c r="E16" s="56">
        <v>1.1251</v>
      </c>
      <c r="F16" s="57">
        <v>70.386899999999997</v>
      </c>
      <c r="G16" s="57">
        <v>75.171999999999997</v>
      </c>
      <c r="H16" s="56">
        <v>0.68179999999999996</v>
      </c>
      <c r="I16" s="57">
        <v>70.424899999999994</v>
      </c>
      <c r="J16" s="57">
        <v>75.278999999999996</v>
      </c>
      <c r="K16" s="56">
        <v>0.58009999999999995</v>
      </c>
      <c r="L16" s="57">
        <v>80.029300000000006</v>
      </c>
      <c r="M16" s="57">
        <v>85.078199999999995</v>
      </c>
      <c r="N16" s="56">
        <v>1.7758</v>
      </c>
      <c r="O16" s="57">
        <v>80.029300000000006</v>
      </c>
      <c r="P16" s="57">
        <v>84.769099999999995</v>
      </c>
      <c r="Q16" s="56">
        <v>3.7685</v>
      </c>
      <c r="R16" s="57">
        <v>80.025599999999997</v>
      </c>
      <c r="S16" s="57">
        <v>84.737799999999993</v>
      </c>
      <c r="T16" s="56">
        <v>3.2513000000000001</v>
      </c>
      <c r="U16" s="57">
        <v>81.2864</v>
      </c>
      <c r="V16" s="57">
        <v>86.102199999999996</v>
      </c>
      <c r="W16" s="56">
        <v>5.1794000000000002</v>
      </c>
      <c r="X16" s="57">
        <v>80.026399999999995</v>
      </c>
      <c r="Y16" s="57">
        <v>84.491200000000006</v>
      </c>
      <c r="Z16" s="56">
        <v>4.4997999999999996</v>
      </c>
      <c r="AA16" s="57">
        <v>81.266599999999997</v>
      </c>
      <c r="AB16" s="57">
        <v>86.040599999999998</v>
      </c>
      <c r="AC16" s="56">
        <v>8.3993000000000002</v>
      </c>
      <c r="AD16" s="57">
        <v>80.025599999999997</v>
      </c>
      <c r="AE16" s="57">
        <v>84.857500000000002</v>
      </c>
      <c r="AF16" s="56">
        <v>7.9992000000000001</v>
      </c>
      <c r="AG16" s="57">
        <v>80.019499999999994</v>
      </c>
      <c r="AH16" s="57">
        <v>84.622900000000001</v>
      </c>
      <c r="AI16" s="56">
        <v>8.0043000000000006</v>
      </c>
      <c r="AJ16" s="57">
        <v>81.753200000000007</v>
      </c>
      <c r="AK16" s="57">
        <v>87.976200000000006</v>
      </c>
      <c r="AL16" s="56">
        <f t="shared" si="0"/>
        <v>0.78244999999999987</v>
      </c>
      <c r="AM16" s="57">
        <f t="shared" si="1"/>
        <v>72.801800000000014</v>
      </c>
      <c r="AN16" s="57">
        <f t="shared" si="2"/>
        <v>77.664424999999994</v>
      </c>
      <c r="AO16" s="56">
        <f t="shared" si="3"/>
        <v>3.4937500000000004</v>
      </c>
      <c r="AP16" s="57">
        <f t="shared" si="4"/>
        <v>80.341925000000003</v>
      </c>
      <c r="AQ16" s="57">
        <f t="shared" si="5"/>
        <v>85.025074999999987</v>
      </c>
      <c r="AR16" s="56">
        <f t="shared" si="6"/>
        <v>7.2256499999999999</v>
      </c>
      <c r="AS16" s="57">
        <f t="shared" si="7"/>
        <v>80.766224999999991</v>
      </c>
      <c r="AT16" s="65">
        <f t="shared" si="8"/>
        <v>85.874299999999991</v>
      </c>
    </row>
    <row r="17" spans="1:46" x14ac:dyDescent="0.35">
      <c r="A17" s="96" t="s">
        <v>153</v>
      </c>
      <c r="B17" s="52">
        <v>3.03427E-2</v>
      </c>
      <c r="C17" s="53">
        <v>54.3005</v>
      </c>
      <c r="D17" s="53">
        <v>55.449300000000001</v>
      </c>
      <c r="E17" s="52">
        <v>4.5279E-2</v>
      </c>
      <c r="F17" s="53">
        <v>54.2791</v>
      </c>
      <c r="G17" s="53">
        <v>55.755299999999998</v>
      </c>
      <c r="H17" s="52">
        <v>3.2842099999999999E-2</v>
      </c>
      <c r="I17" s="53">
        <v>57.891800000000003</v>
      </c>
      <c r="J17" s="53">
        <v>58.968800000000002</v>
      </c>
      <c r="K17" s="52">
        <v>2.1381299999999999E-2</v>
      </c>
      <c r="L17" s="53">
        <v>67.510499999999993</v>
      </c>
      <c r="M17" s="53">
        <v>68.103899999999996</v>
      </c>
      <c r="N17" s="52">
        <v>4.1590700000000001E-2</v>
      </c>
      <c r="O17" s="53">
        <v>67.994900000000001</v>
      </c>
      <c r="P17" s="53">
        <v>68.726100000000002</v>
      </c>
      <c r="Q17" s="52">
        <v>6.10121E-2</v>
      </c>
      <c r="R17" s="53">
        <v>67.561499999999995</v>
      </c>
      <c r="S17" s="53">
        <v>69.991699999999994</v>
      </c>
      <c r="T17" s="52">
        <v>0.20080000000000001</v>
      </c>
      <c r="U17" s="53">
        <v>71.267600000000002</v>
      </c>
      <c r="V17" s="53">
        <v>74.569199999999995</v>
      </c>
      <c r="W17" s="52">
        <v>0.18273200000000001</v>
      </c>
      <c r="X17" s="53">
        <v>71.446399999999997</v>
      </c>
      <c r="Y17" s="53">
        <v>73.499799999999993</v>
      </c>
      <c r="Z17" s="52">
        <v>0.28961999999999999</v>
      </c>
      <c r="AA17" s="53">
        <v>71.263400000000004</v>
      </c>
      <c r="AB17" s="53">
        <v>74.307400000000001</v>
      </c>
      <c r="AC17" s="52">
        <v>0.901088</v>
      </c>
      <c r="AD17" s="53">
        <v>62.437600000000003</v>
      </c>
      <c r="AE17" s="53">
        <v>65.472300000000004</v>
      </c>
      <c r="AF17" s="52">
        <v>0.45210299999999998</v>
      </c>
      <c r="AG17" s="53">
        <v>63.698</v>
      </c>
      <c r="AH17" s="53">
        <v>65.7012</v>
      </c>
      <c r="AI17" s="52">
        <v>2.6991900000000002</v>
      </c>
      <c r="AJ17" s="53">
        <v>69.789699999999996</v>
      </c>
      <c r="AK17" s="53">
        <v>75.917900000000003</v>
      </c>
      <c r="AL17" s="52">
        <f t="shared" si="0"/>
        <v>3.2461274999999998E-2</v>
      </c>
      <c r="AM17" s="53">
        <f t="shared" si="1"/>
        <v>58.495474999999999</v>
      </c>
      <c r="AN17" s="53">
        <f t="shared" si="2"/>
        <v>59.569324999999999</v>
      </c>
      <c r="AO17" s="52">
        <f t="shared" si="3"/>
        <v>0.12153369999999999</v>
      </c>
      <c r="AP17" s="53">
        <f t="shared" si="4"/>
        <v>69.567599999999999</v>
      </c>
      <c r="AQ17" s="53">
        <f t="shared" si="5"/>
        <v>71.696699999999993</v>
      </c>
      <c r="AR17" s="52">
        <f t="shared" si="6"/>
        <v>1.0855002500000002</v>
      </c>
      <c r="AS17" s="53">
        <f t="shared" si="7"/>
        <v>66.797174999999996</v>
      </c>
      <c r="AT17" s="63">
        <f t="shared" si="8"/>
        <v>70.349699999999999</v>
      </c>
    </row>
    <row r="18" spans="1:46" x14ac:dyDescent="0.35">
      <c r="A18" s="97"/>
      <c r="B18" s="54">
        <v>3.7435599999999999E-2</v>
      </c>
      <c r="C18" s="55">
        <v>59.072000000000003</v>
      </c>
      <c r="D18" s="55">
        <v>60.872900000000001</v>
      </c>
      <c r="E18" s="54">
        <v>5.80653E-2</v>
      </c>
      <c r="F18" s="55">
        <v>58.729100000000003</v>
      </c>
      <c r="G18" s="55">
        <v>61.191000000000003</v>
      </c>
      <c r="H18" s="54">
        <v>5.8110799999999997E-2</v>
      </c>
      <c r="I18" s="55">
        <v>64.854299999999995</v>
      </c>
      <c r="J18" s="55">
        <v>66.856300000000005</v>
      </c>
      <c r="K18" s="54">
        <v>2.1902600000000001E-2</v>
      </c>
      <c r="L18" s="55">
        <v>68.200100000000006</v>
      </c>
      <c r="M18" s="55">
        <v>68.839399999999998</v>
      </c>
      <c r="N18" s="54">
        <v>0.129355</v>
      </c>
      <c r="O18" s="55">
        <v>76.012200000000007</v>
      </c>
      <c r="P18" s="55">
        <v>81.522999999999996</v>
      </c>
      <c r="Q18" s="54">
        <v>6.8674299999999994E-2</v>
      </c>
      <c r="R18" s="55">
        <v>67.561599999999999</v>
      </c>
      <c r="S18" s="55">
        <v>69.991799999999998</v>
      </c>
      <c r="T18" s="54">
        <v>0.20599999999999999</v>
      </c>
      <c r="U18" s="55">
        <v>71.574299999999994</v>
      </c>
      <c r="V18" s="55">
        <v>75.063299999999998</v>
      </c>
      <c r="W18" s="54">
        <v>0.32933099999999998</v>
      </c>
      <c r="X18" s="55">
        <v>73.199700000000007</v>
      </c>
      <c r="Y18" s="55">
        <v>74.682900000000004</v>
      </c>
      <c r="Z18" s="54">
        <v>0.29709200000000002</v>
      </c>
      <c r="AA18" s="55">
        <v>71.551900000000003</v>
      </c>
      <c r="AB18" s="55">
        <v>74.786600000000007</v>
      </c>
      <c r="AC18" s="54">
        <v>0.950322</v>
      </c>
      <c r="AD18" s="55">
        <v>62.592599999999997</v>
      </c>
      <c r="AE18" s="55">
        <v>65.656599999999997</v>
      </c>
      <c r="AF18" s="54">
        <v>0.514517</v>
      </c>
      <c r="AG18" s="55">
        <v>63.698099999999997</v>
      </c>
      <c r="AH18" s="55">
        <v>65.701210000000003</v>
      </c>
      <c r="AI18" s="54">
        <v>2.8448099999999998</v>
      </c>
      <c r="AJ18" s="55">
        <v>70.451400000000007</v>
      </c>
      <c r="AK18" s="55">
        <v>79.065100000000001</v>
      </c>
      <c r="AL18" s="54">
        <f t="shared" si="0"/>
        <v>4.3878575000000003E-2</v>
      </c>
      <c r="AM18" s="55">
        <f t="shared" si="1"/>
        <v>62.713875000000002</v>
      </c>
      <c r="AN18" s="55">
        <f t="shared" si="2"/>
        <v>64.439899999999994</v>
      </c>
      <c r="AO18" s="54">
        <f t="shared" si="3"/>
        <v>0.18334007499999999</v>
      </c>
      <c r="AP18" s="55">
        <f t="shared" si="4"/>
        <v>72.086950000000002</v>
      </c>
      <c r="AQ18" s="55">
        <f t="shared" si="5"/>
        <v>75.315249999999992</v>
      </c>
      <c r="AR18" s="54">
        <f t="shared" si="6"/>
        <v>1.1516852500000001</v>
      </c>
      <c r="AS18" s="55">
        <f t="shared" si="7"/>
        <v>67.073499999999996</v>
      </c>
      <c r="AT18" s="64">
        <f t="shared" si="8"/>
        <v>71.302377500000006</v>
      </c>
    </row>
    <row r="19" spans="1:46" x14ac:dyDescent="0.35">
      <c r="A19" s="97"/>
      <c r="B19" s="54">
        <v>0.15845200000000001</v>
      </c>
      <c r="C19" s="55">
        <v>68.464200000000005</v>
      </c>
      <c r="D19" s="55">
        <v>71.698899999999995</v>
      </c>
      <c r="E19" s="54">
        <v>0.180288</v>
      </c>
      <c r="F19" s="55">
        <v>66.685599999999994</v>
      </c>
      <c r="G19" s="55">
        <v>70.3185</v>
      </c>
      <c r="H19" s="54">
        <v>9.7967899999999997E-2</v>
      </c>
      <c r="I19" s="55">
        <v>68.417699999999996</v>
      </c>
      <c r="J19" s="55">
        <v>71.188699999999997</v>
      </c>
      <c r="K19" s="54">
        <v>4.3807899999999997E-2</v>
      </c>
      <c r="L19" s="55">
        <v>75.782700000000006</v>
      </c>
      <c r="M19" s="55">
        <v>77.395300000000006</v>
      </c>
      <c r="N19" s="54">
        <v>0.44339299999999998</v>
      </c>
      <c r="O19" s="55">
        <v>76.679000000000002</v>
      </c>
      <c r="P19" s="55">
        <v>84.140900000000002</v>
      </c>
      <c r="Q19" s="54">
        <v>0.48680099999999998</v>
      </c>
      <c r="R19" s="55">
        <v>73.232500000000002</v>
      </c>
      <c r="S19" s="55">
        <v>76.768199999999993</v>
      </c>
      <c r="T19" s="54">
        <v>0.33939999999999998</v>
      </c>
      <c r="U19" s="55">
        <v>73.647099999999995</v>
      </c>
      <c r="V19" s="55">
        <v>78.957999999999998</v>
      </c>
      <c r="W19" s="54">
        <v>1.0376700000000001</v>
      </c>
      <c r="X19" s="55">
        <v>78.343999999999994</v>
      </c>
      <c r="Y19" s="55">
        <v>82.790499999999994</v>
      </c>
      <c r="Z19" s="54">
        <v>0.50261800000000001</v>
      </c>
      <c r="AA19" s="55">
        <v>73.550700000000006</v>
      </c>
      <c r="AB19" s="55">
        <v>78.155500000000004</v>
      </c>
      <c r="AC19" s="54">
        <v>1.2095899999999999</v>
      </c>
      <c r="AD19" s="55">
        <v>63.2896</v>
      </c>
      <c r="AE19" s="55">
        <v>66.528999999999996</v>
      </c>
      <c r="AF19" s="54">
        <v>1.87663</v>
      </c>
      <c r="AG19" s="55">
        <v>66.723200000000006</v>
      </c>
      <c r="AH19" s="55">
        <v>69.190600000000003</v>
      </c>
      <c r="AI19" s="54">
        <v>2.8833600000000001</v>
      </c>
      <c r="AJ19" s="55">
        <v>70.532899999999998</v>
      </c>
      <c r="AK19" s="55">
        <v>79.627300000000005</v>
      </c>
      <c r="AL19" s="54">
        <f t="shared" si="0"/>
        <v>0.12012895000000001</v>
      </c>
      <c r="AM19" s="55">
        <f t="shared" si="1"/>
        <v>69.837549999999993</v>
      </c>
      <c r="AN19" s="55">
        <f t="shared" si="2"/>
        <v>72.650350000000003</v>
      </c>
      <c r="AO19" s="54">
        <f t="shared" si="3"/>
        <v>0.576816</v>
      </c>
      <c r="AP19" s="55">
        <f t="shared" si="4"/>
        <v>75.475650000000002</v>
      </c>
      <c r="AQ19" s="55">
        <f t="shared" si="5"/>
        <v>80.664400000000001</v>
      </c>
      <c r="AR19" s="54">
        <f t="shared" si="6"/>
        <v>1.6180495000000001</v>
      </c>
      <c r="AS19" s="55">
        <f t="shared" si="7"/>
        <v>68.524100000000004</v>
      </c>
      <c r="AT19" s="64">
        <f t="shared" si="8"/>
        <v>73.375600000000006</v>
      </c>
    </row>
    <row r="20" spans="1:46" x14ac:dyDescent="0.35">
      <c r="A20" s="97"/>
      <c r="B20" s="54">
        <v>0.466312</v>
      </c>
      <c r="C20" s="55">
        <v>69.889300000000006</v>
      </c>
      <c r="D20" s="55">
        <v>73.3292</v>
      </c>
      <c r="E20" s="54">
        <v>0.38705299999999998</v>
      </c>
      <c r="F20" s="55">
        <v>69.1126</v>
      </c>
      <c r="G20" s="55">
        <v>73.148200000000003</v>
      </c>
      <c r="H20" s="54">
        <v>0.18181</v>
      </c>
      <c r="I20" s="55">
        <v>70.1327</v>
      </c>
      <c r="J20" s="55">
        <v>73.2577</v>
      </c>
      <c r="K20" s="54">
        <v>0.128691</v>
      </c>
      <c r="L20" s="55">
        <v>82.152900000000002</v>
      </c>
      <c r="M20" s="55">
        <v>85.546300000000002</v>
      </c>
      <c r="N20" s="54">
        <v>0.573407</v>
      </c>
      <c r="O20" s="55">
        <v>76.756200000000007</v>
      </c>
      <c r="P20" s="55">
        <v>84.348200000000006</v>
      </c>
      <c r="Q20" s="54">
        <v>1.76949</v>
      </c>
      <c r="R20" s="55">
        <v>75.168899999999994</v>
      </c>
      <c r="S20" s="55">
        <v>78.011600000000001</v>
      </c>
      <c r="T20" s="54">
        <v>1.2357</v>
      </c>
      <c r="U20" s="55">
        <v>77.443709999999996</v>
      </c>
      <c r="V20" s="55">
        <v>82.158500000000004</v>
      </c>
      <c r="W20" s="54">
        <v>1.60717</v>
      </c>
      <c r="X20" s="55">
        <v>78.828699999999998</v>
      </c>
      <c r="Y20" s="55">
        <v>84.4786</v>
      </c>
      <c r="Z20" s="54">
        <v>2.1025299999999998</v>
      </c>
      <c r="AA20" s="55">
        <v>75.006100000000004</v>
      </c>
      <c r="AB20" s="55">
        <v>81.388000000000005</v>
      </c>
      <c r="AC20" s="54">
        <v>3.9739300000000002</v>
      </c>
      <c r="AD20" s="55">
        <v>65.409000000000006</v>
      </c>
      <c r="AE20" s="55">
        <v>69.775300000000001</v>
      </c>
      <c r="AF20" s="54">
        <v>1.98559</v>
      </c>
      <c r="AG20" s="55">
        <v>67.078900000000004</v>
      </c>
      <c r="AH20" s="55">
        <v>69.626199999999997</v>
      </c>
      <c r="AI20" s="54">
        <v>3.4089499999999999</v>
      </c>
      <c r="AJ20" s="55">
        <v>70.799300000000002</v>
      </c>
      <c r="AK20" s="55">
        <v>81.589600000000004</v>
      </c>
      <c r="AL20" s="54">
        <f t="shared" si="0"/>
        <v>0.29096650000000002</v>
      </c>
      <c r="AM20" s="55">
        <f t="shared" si="1"/>
        <v>72.821874999999991</v>
      </c>
      <c r="AN20" s="55">
        <f t="shared" si="2"/>
        <v>76.320349999999991</v>
      </c>
      <c r="AO20" s="54">
        <f t="shared" si="3"/>
        <v>1.2964417500000001</v>
      </c>
      <c r="AP20" s="55">
        <f t="shared" si="4"/>
        <v>77.049377499999991</v>
      </c>
      <c r="AQ20" s="55">
        <f t="shared" si="5"/>
        <v>82.24922500000001</v>
      </c>
      <c r="AR20" s="54">
        <f t="shared" si="6"/>
        <v>2.86775</v>
      </c>
      <c r="AS20" s="55">
        <f t="shared" si="7"/>
        <v>69.573325000000011</v>
      </c>
      <c r="AT20" s="64">
        <f t="shared" si="8"/>
        <v>75.594774999999998</v>
      </c>
    </row>
    <row r="21" spans="1:46" x14ac:dyDescent="0.35">
      <c r="A21" s="97"/>
      <c r="B21" s="54">
        <v>0.77693900000000005</v>
      </c>
      <c r="C21" s="55">
        <v>70.372900000000001</v>
      </c>
      <c r="D21" s="55">
        <v>73.705699999999993</v>
      </c>
      <c r="E21" s="54">
        <v>0.60342899999999999</v>
      </c>
      <c r="F21" s="55">
        <v>69.756600000000006</v>
      </c>
      <c r="G21" s="55">
        <v>74.046999999999997</v>
      </c>
      <c r="H21" s="54">
        <v>0.26978799999999997</v>
      </c>
      <c r="I21" s="55">
        <v>71.906499999999994</v>
      </c>
      <c r="J21" s="55">
        <v>76.339699999999993</v>
      </c>
      <c r="K21" s="54">
        <v>0.28915299999999999</v>
      </c>
      <c r="L21" s="55">
        <v>84.891499999999994</v>
      </c>
      <c r="M21" s="55">
        <v>89.567700000000002</v>
      </c>
      <c r="N21" s="54">
        <v>0.731599</v>
      </c>
      <c r="O21" s="55">
        <v>76.839100000000002</v>
      </c>
      <c r="P21" s="55">
        <v>84.630399999999995</v>
      </c>
      <c r="Q21" s="54">
        <v>2.13279</v>
      </c>
      <c r="R21" s="55">
        <v>75.523099999999999</v>
      </c>
      <c r="S21" s="55">
        <v>79.298400000000001</v>
      </c>
      <c r="T21" s="54">
        <v>1.7532000000000001</v>
      </c>
      <c r="U21" s="55">
        <v>77.915750000000003</v>
      </c>
      <c r="V21" s="55">
        <v>83.409400000000005</v>
      </c>
      <c r="W21" s="54">
        <v>4.06311</v>
      </c>
      <c r="X21" s="55">
        <v>80.371300000000005</v>
      </c>
      <c r="Y21" s="55">
        <v>85.926299999999998</v>
      </c>
      <c r="Z21" s="54">
        <v>2.8235899999999998</v>
      </c>
      <c r="AA21" s="55">
        <v>76.979200000000006</v>
      </c>
      <c r="AB21" s="55">
        <v>83.022400000000005</v>
      </c>
      <c r="AC21" s="54">
        <v>7.9764099999999996</v>
      </c>
      <c r="AD21" s="55">
        <v>65.964100000000002</v>
      </c>
      <c r="AE21" s="55">
        <v>71.045599999999993</v>
      </c>
      <c r="AF21" s="54">
        <v>5.0061</v>
      </c>
      <c r="AG21" s="55">
        <v>66.951700000000002</v>
      </c>
      <c r="AH21" s="55">
        <v>69.643199999999993</v>
      </c>
      <c r="AI21" s="54">
        <v>5.9244000000000003</v>
      </c>
      <c r="AJ21" s="55">
        <v>75.088899999999995</v>
      </c>
      <c r="AK21" s="55">
        <v>82.698700000000002</v>
      </c>
      <c r="AL21" s="54">
        <f t="shared" si="0"/>
        <v>0.48482724999999999</v>
      </c>
      <c r="AM21" s="55">
        <f t="shared" si="1"/>
        <v>74.231875000000002</v>
      </c>
      <c r="AN21" s="55">
        <f t="shared" si="2"/>
        <v>78.415024999999986</v>
      </c>
      <c r="AO21" s="54">
        <f t="shared" si="3"/>
        <v>2.1701747500000002</v>
      </c>
      <c r="AP21" s="55">
        <f t="shared" si="4"/>
        <v>77.662312500000013</v>
      </c>
      <c r="AQ21" s="55">
        <f t="shared" si="5"/>
        <v>83.316125</v>
      </c>
      <c r="AR21" s="54">
        <f t="shared" si="6"/>
        <v>5.4326249999999998</v>
      </c>
      <c r="AS21" s="55">
        <f t="shared" si="7"/>
        <v>71.245975000000001</v>
      </c>
      <c r="AT21" s="64">
        <f t="shared" si="8"/>
        <v>76.602474999999998</v>
      </c>
    </row>
    <row r="22" spans="1:46" x14ac:dyDescent="0.35">
      <c r="A22" s="98"/>
      <c r="B22" s="56">
        <v>1.4862899999999999</v>
      </c>
      <c r="C22" s="57">
        <v>71.271000000000001</v>
      </c>
      <c r="D22" s="57">
        <v>74.218900000000005</v>
      </c>
      <c r="E22" s="56">
        <v>0.98069700000000004</v>
      </c>
      <c r="F22" s="57">
        <v>70.3857</v>
      </c>
      <c r="G22" s="57">
        <v>74.855699999999999</v>
      </c>
      <c r="H22" s="56">
        <v>0.37567499999999998</v>
      </c>
      <c r="I22" s="57">
        <v>72.752700000000004</v>
      </c>
      <c r="J22" s="57">
        <v>77.482799999999997</v>
      </c>
      <c r="K22" s="56">
        <v>0.32478800000000002</v>
      </c>
      <c r="L22" s="57">
        <v>85.133899999999997</v>
      </c>
      <c r="M22" s="57">
        <v>89.914000000000001</v>
      </c>
      <c r="N22" s="56">
        <v>0.84557499999999997</v>
      </c>
      <c r="O22" s="57">
        <v>76.891199999999998</v>
      </c>
      <c r="P22" s="57">
        <v>84.839600000000004</v>
      </c>
      <c r="Q22" s="56">
        <v>2.4798399999999998</v>
      </c>
      <c r="R22" s="57">
        <v>75.757300000000001</v>
      </c>
      <c r="S22" s="57">
        <v>80.266300000000001</v>
      </c>
      <c r="T22" s="56">
        <v>3.5064000000000002</v>
      </c>
      <c r="U22" s="57">
        <v>79.770899999999997</v>
      </c>
      <c r="V22" s="57">
        <v>83.864999999999995</v>
      </c>
      <c r="W22" s="56">
        <v>5.1465899999999998</v>
      </c>
      <c r="X22" s="57">
        <v>80.803600000000003</v>
      </c>
      <c r="Y22" s="57">
        <v>86.666899999999998</v>
      </c>
      <c r="Z22" s="56">
        <v>7.2598399999999996</v>
      </c>
      <c r="AA22" s="57">
        <v>80.061800000000005</v>
      </c>
      <c r="AB22" s="57">
        <v>83.842100000000002</v>
      </c>
      <c r="AC22" s="56">
        <v>9.8421199999999995</v>
      </c>
      <c r="AD22" s="57">
        <v>66.379000000000005</v>
      </c>
      <c r="AE22" s="57">
        <v>71.866299999999995</v>
      </c>
      <c r="AF22" s="56">
        <v>5.5352800000000002</v>
      </c>
      <c r="AG22" s="57">
        <v>68.144199999999998</v>
      </c>
      <c r="AH22" s="57">
        <v>71.090900000000005</v>
      </c>
      <c r="AI22" s="56">
        <v>6.2544000000000004</v>
      </c>
      <c r="AJ22" s="57">
        <v>75.734800000000007</v>
      </c>
      <c r="AK22" s="57">
        <v>85.443200000000004</v>
      </c>
      <c r="AL22" s="56">
        <f t="shared" si="0"/>
        <v>0.79186250000000002</v>
      </c>
      <c r="AM22" s="57">
        <f t="shared" si="1"/>
        <v>74.885824999999997</v>
      </c>
      <c r="AN22" s="57">
        <f t="shared" si="2"/>
        <v>79.117850000000004</v>
      </c>
      <c r="AO22" s="56">
        <f t="shared" si="3"/>
        <v>2.9946012499999997</v>
      </c>
      <c r="AP22" s="57">
        <f t="shared" si="4"/>
        <v>78.305750000000003</v>
      </c>
      <c r="AQ22" s="57">
        <f t="shared" si="5"/>
        <v>83.909450000000007</v>
      </c>
      <c r="AR22" s="56">
        <f t="shared" si="6"/>
        <v>7.2229099999999997</v>
      </c>
      <c r="AS22" s="57">
        <f t="shared" si="7"/>
        <v>72.579949999999997</v>
      </c>
      <c r="AT22" s="65">
        <f t="shared" si="8"/>
        <v>78.060625000000002</v>
      </c>
    </row>
    <row r="23" spans="1:46" x14ac:dyDescent="0.35">
      <c r="A23" s="99" t="s">
        <v>175</v>
      </c>
      <c r="B23" s="52">
        <v>0.02</v>
      </c>
      <c r="C23" s="53">
        <v>59.648299999999999</v>
      </c>
      <c r="D23" s="53">
        <v>61.686900000000001</v>
      </c>
      <c r="E23" s="52">
        <v>2.4E-2</v>
      </c>
      <c r="F23" s="53">
        <v>60.479100000000003</v>
      </c>
      <c r="G23" s="53">
        <v>63.337899999999998</v>
      </c>
      <c r="H23" s="52">
        <v>2.5000000000000001E-2</v>
      </c>
      <c r="I23" s="53">
        <v>61.565300000000001</v>
      </c>
      <c r="J23" s="53">
        <v>63.9861</v>
      </c>
      <c r="K23" s="52">
        <v>2.5999999999999999E-2</v>
      </c>
      <c r="L23" s="53">
        <v>72.0501</v>
      </c>
      <c r="M23" s="53">
        <v>76.683000000000007</v>
      </c>
      <c r="N23" s="52">
        <v>1.2999999999999999E-2</v>
      </c>
      <c r="O23" s="53">
        <v>64.827600000000004</v>
      </c>
      <c r="P23" s="53">
        <v>67.905000000000001</v>
      </c>
      <c r="Q23" s="52">
        <v>1.7000000000000001E-2</v>
      </c>
      <c r="R23" s="53">
        <v>63.671599999999998</v>
      </c>
      <c r="S23" s="53">
        <v>66.515199999999993</v>
      </c>
      <c r="T23" s="52">
        <v>3.7999999999999999E-2</v>
      </c>
      <c r="U23" s="53">
        <v>63.046700000000001</v>
      </c>
      <c r="V23" s="53">
        <v>66.263499999999993</v>
      </c>
      <c r="W23" s="52">
        <v>4.7E-2</v>
      </c>
      <c r="X23" s="53">
        <v>60.959600000000002</v>
      </c>
      <c r="Y23" s="53">
        <v>65.508099999999999</v>
      </c>
      <c r="Z23" s="52">
        <v>4.1000000000000002E-2</v>
      </c>
      <c r="AA23" s="53">
        <v>64.667500000000004</v>
      </c>
      <c r="AB23" s="53">
        <v>66.125799999999998</v>
      </c>
      <c r="AC23" s="52">
        <v>0.17</v>
      </c>
      <c r="AD23" s="53">
        <v>57.128300000000003</v>
      </c>
      <c r="AE23" s="53">
        <v>62.1389</v>
      </c>
      <c r="AF23" s="52">
        <v>9.7000000000000003E-2</v>
      </c>
      <c r="AG23" s="53">
        <v>62.088000000000001</v>
      </c>
      <c r="AH23" s="53">
        <v>65.866</v>
      </c>
      <c r="AI23" s="52">
        <v>0.19600000000000001</v>
      </c>
      <c r="AJ23" s="53">
        <v>49.250300000000003</v>
      </c>
      <c r="AK23" s="53">
        <v>59.229399999999998</v>
      </c>
      <c r="AL23" s="52">
        <f t="shared" si="0"/>
        <v>2.375E-2</v>
      </c>
      <c r="AM23" s="53">
        <f t="shared" si="1"/>
        <v>63.435699999999997</v>
      </c>
      <c r="AN23" s="53">
        <f t="shared" si="2"/>
        <v>66.42347500000001</v>
      </c>
      <c r="AO23" s="52">
        <f t="shared" si="3"/>
        <v>2.8749999999999998E-2</v>
      </c>
      <c r="AP23" s="53">
        <f t="shared" si="4"/>
        <v>63.126374999999996</v>
      </c>
      <c r="AQ23" s="53">
        <f t="shared" si="5"/>
        <v>66.54795</v>
      </c>
      <c r="AR23" s="52">
        <f t="shared" si="6"/>
        <v>0.126</v>
      </c>
      <c r="AS23" s="53">
        <f t="shared" si="7"/>
        <v>58.283524999999997</v>
      </c>
      <c r="AT23" s="63">
        <f t="shared" si="8"/>
        <v>63.340024999999997</v>
      </c>
    </row>
    <row r="24" spans="1:46" x14ac:dyDescent="0.35">
      <c r="A24" s="100"/>
      <c r="B24" s="54">
        <v>4.2000000000000003E-2</v>
      </c>
      <c r="C24" s="55">
        <v>64.806399999999996</v>
      </c>
      <c r="D24" s="55">
        <v>67.331800000000001</v>
      </c>
      <c r="E24" s="54">
        <v>4.7E-2</v>
      </c>
      <c r="F24" s="55">
        <v>64.0886</v>
      </c>
      <c r="G24" s="55">
        <v>67.629499999999993</v>
      </c>
      <c r="H24" s="54">
        <v>4.9000000000000002E-2</v>
      </c>
      <c r="I24" s="55">
        <v>66.251499999999993</v>
      </c>
      <c r="J24" s="55">
        <v>69.119500000000002</v>
      </c>
      <c r="K24" s="54">
        <v>5.6000000000000001E-2</v>
      </c>
      <c r="L24" s="55">
        <v>75.912400000000005</v>
      </c>
      <c r="M24" s="55">
        <v>82.175600000000003</v>
      </c>
      <c r="N24" s="54">
        <v>2.8000000000000001E-2</v>
      </c>
      <c r="O24" s="55">
        <v>69.2547</v>
      </c>
      <c r="P24" s="55">
        <v>73.160700000000006</v>
      </c>
      <c r="Q24" s="54">
        <v>3.7999999999999999E-2</v>
      </c>
      <c r="R24" s="55">
        <v>66.568200000000004</v>
      </c>
      <c r="S24" s="55">
        <v>70.947199999999995</v>
      </c>
      <c r="T24" s="54">
        <v>8.5999999999999993E-2</v>
      </c>
      <c r="U24" s="55">
        <v>66.565600000000003</v>
      </c>
      <c r="V24" s="55">
        <v>73.062299999999993</v>
      </c>
      <c r="W24" s="54">
        <v>9.0999999999999998E-2</v>
      </c>
      <c r="X24" s="55">
        <v>62.813600000000001</v>
      </c>
      <c r="Y24" s="55">
        <v>68.333299999999994</v>
      </c>
      <c r="Z24" s="54">
        <v>0.107</v>
      </c>
      <c r="AA24" s="55">
        <v>68.718199999999996</v>
      </c>
      <c r="AB24" s="55">
        <v>70.529899999999998</v>
      </c>
      <c r="AC24" s="54">
        <v>0.36899999999999999</v>
      </c>
      <c r="AD24" s="55">
        <v>60.5745</v>
      </c>
      <c r="AE24" s="55">
        <v>65.0458</v>
      </c>
      <c r="AF24" s="54">
        <v>0.20100000000000001</v>
      </c>
      <c r="AG24" s="55">
        <v>64.267099999999999</v>
      </c>
      <c r="AH24" s="55">
        <v>67.953900000000004</v>
      </c>
      <c r="AI24" s="54">
        <v>0.91500000000000004</v>
      </c>
      <c r="AJ24" s="55">
        <v>45.031700000000001</v>
      </c>
      <c r="AK24" s="55">
        <v>54.744799999999998</v>
      </c>
      <c r="AL24" s="54">
        <f t="shared" ref="AL24:AL26" si="9">AVERAGE(K24,H24,B24,E24)</f>
        <v>4.8500000000000001E-2</v>
      </c>
      <c r="AM24" s="55">
        <f t="shared" ref="AM24:AM26" si="10">AVERAGE(L24,I24,C24,F24)</f>
        <v>67.764724999999999</v>
      </c>
      <c r="AN24" s="55">
        <f t="shared" ref="AN24:AN26" si="11">AVERAGE(M24,J24,D24,G24)</f>
        <v>71.564099999999996</v>
      </c>
      <c r="AO24" s="54">
        <f t="shared" ref="AO24:AO26" si="12">AVERAGE(W24,Q24,N24,T24)</f>
        <v>6.0749999999999998E-2</v>
      </c>
      <c r="AP24" s="55">
        <f t="shared" ref="AP24:AP26" si="13">AVERAGE(X24,R24,O24,U24)</f>
        <v>66.300525000000007</v>
      </c>
      <c r="AQ24" s="55">
        <f t="shared" ref="AQ24:AQ26" si="14">AVERAGE(Y24,S24,P24,V24)</f>
        <v>71.375874999999994</v>
      </c>
      <c r="AR24" s="54">
        <f t="shared" ref="AR24:AR26" si="15">AVERAGE(AC24,AF24,AI24,Z24)</f>
        <v>0.39800000000000002</v>
      </c>
      <c r="AS24" s="55">
        <f t="shared" ref="AS24:AS26" si="16">AVERAGE(AD24,AG24,AJ24,AA24)</f>
        <v>59.647874999999999</v>
      </c>
      <c r="AT24" s="64">
        <f t="shared" ref="AT24:AT26" si="17">AVERAGE(AE24,AH24,AK24,AB24)</f>
        <v>64.568600000000004</v>
      </c>
    </row>
    <row r="25" spans="1:46" x14ac:dyDescent="0.35">
      <c r="A25" s="100"/>
      <c r="B25" s="54">
        <v>0.09</v>
      </c>
      <c r="C25" s="55">
        <v>68.939800000000005</v>
      </c>
      <c r="D25" s="55">
        <v>72.077699999999993</v>
      </c>
      <c r="E25" s="54">
        <v>9.0999999999999998E-2</v>
      </c>
      <c r="F25" s="55">
        <v>67.948800000000006</v>
      </c>
      <c r="G25" s="55">
        <v>71.494399999999999</v>
      </c>
      <c r="H25" s="54">
        <v>9.2999999999999999E-2</v>
      </c>
      <c r="I25" s="55">
        <v>69.529399999999995</v>
      </c>
      <c r="J25" s="55">
        <v>72.563800000000001</v>
      </c>
      <c r="K25" s="54">
        <v>0.106</v>
      </c>
      <c r="L25" s="55">
        <v>78.984800000000007</v>
      </c>
      <c r="M25" s="55">
        <v>84.955799999999996</v>
      </c>
      <c r="N25" s="54">
        <v>5.2999999999999999E-2</v>
      </c>
      <c r="O25" s="55">
        <v>71.685900000000004</v>
      </c>
      <c r="P25" s="55">
        <v>75.207800000000006</v>
      </c>
      <c r="Q25" s="54">
        <v>8.8999999999999996E-2</v>
      </c>
      <c r="R25" s="55">
        <v>68.577399999999997</v>
      </c>
      <c r="S25" s="55">
        <v>72.358999999999995</v>
      </c>
      <c r="T25" s="54">
        <v>0.19700000000000001</v>
      </c>
      <c r="U25" s="55">
        <v>68.078199999999995</v>
      </c>
      <c r="V25" s="55">
        <v>75.360200000000006</v>
      </c>
      <c r="W25" s="54">
        <v>0.19700000000000001</v>
      </c>
      <c r="X25" s="55">
        <v>65.448899999999995</v>
      </c>
      <c r="Y25" s="55">
        <v>71.025899999999993</v>
      </c>
      <c r="Z25" s="54">
        <v>0.27500000000000002</v>
      </c>
      <c r="AA25" s="55">
        <v>71.742000000000004</v>
      </c>
      <c r="AB25" s="55">
        <v>75.029799999999994</v>
      </c>
      <c r="AC25" s="54">
        <v>0.85099999999999998</v>
      </c>
      <c r="AD25" s="55">
        <v>62.259599999999999</v>
      </c>
      <c r="AE25" s="55">
        <v>67.0625</v>
      </c>
      <c r="AF25" s="54">
        <v>0.47699999999999998</v>
      </c>
      <c r="AG25" s="55">
        <v>65.648300000000006</v>
      </c>
      <c r="AH25" s="55">
        <v>69.364999999999995</v>
      </c>
      <c r="AI25" s="54">
        <v>1.994</v>
      </c>
      <c r="AJ25" s="55">
        <v>45.865699999999997</v>
      </c>
      <c r="AK25" s="55">
        <v>53.918500000000002</v>
      </c>
      <c r="AL25" s="54">
        <f t="shared" si="9"/>
        <v>9.5000000000000001E-2</v>
      </c>
      <c r="AM25" s="55">
        <f t="shared" si="10"/>
        <v>71.350700000000003</v>
      </c>
      <c r="AN25" s="55">
        <f t="shared" si="11"/>
        <v>75.272925000000001</v>
      </c>
      <c r="AO25" s="54">
        <f t="shared" si="12"/>
        <v>0.13400000000000001</v>
      </c>
      <c r="AP25" s="55">
        <f t="shared" si="13"/>
        <v>68.447599999999994</v>
      </c>
      <c r="AQ25" s="55">
        <f t="shared" si="14"/>
        <v>73.488225</v>
      </c>
      <c r="AR25" s="54">
        <f t="shared" si="15"/>
        <v>0.89924999999999999</v>
      </c>
      <c r="AS25" s="55">
        <f t="shared" si="16"/>
        <v>61.378900000000002</v>
      </c>
      <c r="AT25" s="64">
        <f t="shared" si="17"/>
        <v>66.343950000000007</v>
      </c>
    </row>
    <row r="26" spans="1:46" x14ac:dyDescent="0.35">
      <c r="A26" s="100"/>
      <c r="B26" s="54">
        <v>0.14699999999999999</v>
      </c>
      <c r="C26" s="55">
        <v>69.742400000000004</v>
      </c>
      <c r="D26" s="55">
        <v>74.532799999999995</v>
      </c>
      <c r="E26" s="54">
        <v>0.151</v>
      </c>
      <c r="F26" s="55">
        <v>69.887900000000002</v>
      </c>
      <c r="G26" s="55">
        <v>73.644300000000001</v>
      </c>
      <c r="H26" s="54">
        <v>0.154</v>
      </c>
      <c r="I26" s="55">
        <v>71.539599999999993</v>
      </c>
      <c r="J26" s="55">
        <v>75.091099999999997</v>
      </c>
      <c r="K26" s="54">
        <v>0.18</v>
      </c>
      <c r="L26" s="55">
        <v>81.339799999999997</v>
      </c>
      <c r="M26" s="55">
        <v>87.091499999999996</v>
      </c>
      <c r="N26" s="54">
        <v>9.0999999999999998E-2</v>
      </c>
      <c r="O26" s="55">
        <v>71.840699999999998</v>
      </c>
      <c r="P26" s="55">
        <v>76.712599999999995</v>
      </c>
      <c r="Q26" s="54">
        <v>0.157</v>
      </c>
      <c r="R26" s="55">
        <v>69.331299999999999</v>
      </c>
      <c r="S26" s="55">
        <v>73.404700000000005</v>
      </c>
      <c r="T26" s="54">
        <v>0.33400000000000002</v>
      </c>
      <c r="U26" s="55">
        <v>69.581500000000005</v>
      </c>
      <c r="V26" s="55">
        <v>77.1066</v>
      </c>
      <c r="W26" s="54">
        <v>0.33500000000000002</v>
      </c>
      <c r="X26" s="55">
        <v>66.809399999999997</v>
      </c>
      <c r="Y26" s="55">
        <v>72.592299999999994</v>
      </c>
      <c r="Z26" s="54">
        <v>0.45100000000000001</v>
      </c>
      <c r="AA26" s="55">
        <v>71.436599999999999</v>
      </c>
      <c r="AB26" s="55">
        <v>76.315399999999997</v>
      </c>
      <c r="AC26" s="54">
        <v>1.423</v>
      </c>
      <c r="AD26" s="55">
        <v>62.6751</v>
      </c>
      <c r="AE26" s="55">
        <v>67.828900000000004</v>
      </c>
      <c r="AF26" s="54">
        <v>0.85299999999999998</v>
      </c>
      <c r="AG26" s="55">
        <v>66.343699999999998</v>
      </c>
      <c r="AH26" s="55">
        <v>70.243899999999996</v>
      </c>
      <c r="AI26" s="54">
        <v>2.9590000000000001</v>
      </c>
      <c r="AJ26" s="55">
        <v>58.915599999999998</v>
      </c>
      <c r="AK26" s="55">
        <v>74.916700000000006</v>
      </c>
      <c r="AL26" s="54">
        <f t="shared" si="9"/>
        <v>0.158</v>
      </c>
      <c r="AM26" s="55">
        <f t="shared" si="10"/>
        <v>73.127424999999988</v>
      </c>
      <c r="AN26" s="55">
        <f t="shared" si="11"/>
        <v>77.589924999999994</v>
      </c>
      <c r="AO26" s="54">
        <f t="shared" si="12"/>
        <v>0.22925000000000001</v>
      </c>
      <c r="AP26" s="55">
        <f t="shared" si="13"/>
        <v>69.390725000000003</v>
      </c>
      <c r="AQ26" s="55">
        <f t="shared" si="14"/>
        <v>74.954050000000009</v>
      </c>
      <c r="AR26" s="54">
        <f t="shared" si="15"/>
        <v>1.4214999999999998</v>
      </c>
      <c r="AS26" s="55">
        <f t="shared" si="16"/>
        <v>64.842749999999995</v>
      </c>
      <c r="AT26" s="64">
        <f t="shared" si="17"/>
        <v>72.326225000000008</v>
      </c>
    </row>
    <row r="27" spans="1:46" x14ac:dyDescent="0.35">
      <c r="A27" s="100"/>
      <c r="B27" s="54">
        <v>0.23799999999999999</v>
      </c>
      <c r="C27" s="55">
        <v>72.587299999999999</v>
      </c>
      <c r="D27" s="55">
        <v>76.176900000000003</v>
      </c>
      <c r="E27" s="54">
        <v>0.246</v>
      </c>
      <c r="F27" s="55">
        <v>71.654300000000006</v>
      </c>
      <c r="G27" s="55">
        <v>75.583299999999994</v>
      </c>
      <c r="H27" s="54">
        <v>0.251</v>
      </c>
      <c r="I27" s="55">
        <v>73.606099999999998</v>
      </c>
      <c r="J27" s="55">
        <v>77.5274</v>
      </c>
      <c r="K27" s="54">
        <v>0.29399999999999998</v>
      </c>
      <c r="L27" s="55">
        <v>82.615399999999994</v>
      </c>
      <c r="M27" s="55">
        <v>88.535399999999996</v>
      </c>
      <c r="N27" s="54">
        <v>0.14899999999999999</v>
      </c>
      <c r="O27" s="55">
        <v>73.466999999999999</v>
      </c>
      <c r="P27" s="55">
        <v>77.567599999999999</v>
      </c>
      <c r="Q27" s="54">
        <v>0.254</v>
      </c>
      <c r="R27" s="55">
        <v>69.825900000000004</v>
      </c>
      <c r="S27" s="55">
        <v>74.107399999999998</v>
      </c>
      <c r="T27" s="54">
        <v>0.51400000000000001</v>
      </c>
      <c r="U27" s="55">
        <v>70.527000000000001</v>
      </c>
      <c r="V27" s="55">
        <v>77.8947</v>
      </c>
      <c r="W27" s="54">
        <v>0.52400000000000002</v>
      </c>
      <c r="X27" s="55">
        <v>67.813699999999997</v>
      </c>
      <c r="Y27" s="55">
        <v>73.686099999999996</v>
      </c>
      <c r="Z27" s="54">
        <v>0.69499999999999995</v>
      </c>
      <c r="AA27" s="55">
        <v>72.973799999999997</v>
      </c>
      <c r="AB27" s="55">
        <v>76.899100000000004</v>
      </c>
      <c r="AC27" s="54">
        <v>2.113</v>
      </c>
      <c r="AD27" s="55">
        <v>63.164499999999997</v>
      </c>
      <c r="AE27" s="55">
        <v>68.230099999999993</v>
      </c>
      <c r="AF27" s="54">
        <v>1.3029999999999999</v>
      </c>
      <c r="AG27" s="55">
        <v>66.822599999999994</v>
      </c>
      <c r="AH27" s="55">
        <v>70.804699999999997</v>
      </c>
      <c r="AI27" s="54">
        <v>4.5519999999999996</v>
      </c>
      <c r="AJ27" s="55">
        <v>63.172899999999998</v>
      </c>
      <c r="AK27" s="55">
        <v>77.809899999999999</v>
      </c>
      <c r="AL27" s="54">
        <f t="shared" si="0"/>
        <v>0.25724999999999998</v>
      </c>
      <c r="AM27" s="55">
        <f t="shared" si="1"/>
        <v>75.115774999999999</v>
      </c>
      <c r="AN27" s="55">
        <f t="shared" si="2"/>
        <v>79.455749999999995</v>
      </c>
      <c r="AO27" s="54">
        <f t="shared" si="3"/>
        <v>0.36025000000000001</v>
      </c>
      <c r="AP27" s="55">
        <f t="shared" si="4"/>
        <v>70.4084</v>
      </c>
      <c r="AQ27" s="55">
        <f t="shared" si="5"/>
        <v>75.813950000000006</v>
      </c>
      <c r="AR27" s="54">
        <f t="shared" si="6"/>
        <v>2.1657500000000001</v>
      </c>
      <c r="AS27" s="55">
        <f t="shared" si="7"/>
        <v>66.533450000000002</v>
      </c>
      <c r="AT27" s="64">
        <f t="shared" si="8"/>
        <v>73.435949999999991</v>
      </c>
    </row>
    <row r="28" spans="1:46" x14ac:dyDescent="0.35">
      <c r="A28" s="100"/>
      <c r="B28" s="54">
        <v>0.30199999999999999</v>
      </c>
      <c r="C28" s="55">
        <v>73.133799999999994</v>
      </c>
      <c r="D28" s="55">
        <v>76.771900000000002</v>
      </c>
      <c r="E28" s="54">
        <v>0.311</v>
      </c>
      <c r="F28" s="55">
        <v>72.160200000000003</v>
      </c>
      <c r="G28" s="55">
        <v>76.146600000000007</v>
      </c>
      <c r="H28" s="54">
        <v>0.32100000000000001</v>
      </c>
      <c r="I28" s="55">
        <v>74.405299999999997</v>
      </c>
      <c r="J28" s="55">
        <v>78.410499999999999</v>
      </c>
      <c r="K28" s="54">
        <v>0.372</v>
      </c>
      <c r="L28" s="55">
        <v>83.508399999999995</v>
      </c>
      <c r="M28" s="55">
        <v>89.140100000000004</v>
      </c>
      <c r="N28" s="54">
        <v>0.191</v>
      </c>
      <c r="O28" s="55">
        <v>73.605999999999995</v>
      </c>
      <c r="P28" s="55">
        <v>77.818100000000001</v>
      </c>
      <c r="Q28" s="54">
        <v>0.30499999999999999</v>
      </c>
      <c r="R28" s="55">
        <v>69.987099999999998</v>
      </c>
      <c r="S28" s="55">
        <v>74.335499999999996</v>
      </c>
      <c r="T28" s="54">
        <v>0.60199999999999998</v>
      </c>
      <c r="U28" s="55">
        <v>70.505600000000001</v>
      </c>
      <c r="V28" s="55">
        <v>78.002099999999999</v>
      </c>
      <c r="W28" s="54">
        <v>0.62</v>
      </c>
      <c r="X28" s="55">
        <v>68.220699999999994</v>
      </c>
      <c r="Y28" s="55">
        <v>73.9268</v>
      </c>
      <c r="Z28" s="54">
        <v>0.81699999999999995</v>
      </c>
      <c r="AA28" s="55">
        <v>73.160600000000002</v>
      </c>
      <c r="AB28" s="55">
        <v>77.1006</v>
      </c>
      <c r="AC28" s="54">
        <v>2.3610000000000002</v>
      </c>
      <c r="AD28" s="55">
        <v>63.4099</v>
      </c>
      <c r="AE28" s="55">
        <v>68.311400000000006</v>
      </c>
      <c r="AF28" s="54">
        <v>1.478</v>
      </c>
      <c r="AG28" s="55">
        <v>67.013000000000005</v>
      </c>
      <c r="AH28" s="55">
        <v>71.092699999999994</v>
      </c>
      <c r="AI28" s="54">
        <v>5.4059999999999997</v>
      </c>
      <c r="AJ28" s="55">
        <v>64.653099999999995</v>
      </c>
      <c r="AK28" s="55">
        <v>77.813199999999995</v>
      </c>
      <c r="AL28" s="54">
        <f t="shared" si="0"/>
        <v>0.32650000000000001</v>
      </c>
      <c r="AM28" s="55">
        <f t="shared" si="1"/>
        <v>75.801925000000011</v>
      </c>
      <c r="AN28" s="55">
        <f t="shared" si="2"/>
        <v>80.117275000000006</v>
      </c>
      <c r="AO28" s="54">
        <f t="shared" si="3"/>
        <v>0.42949999999999999</v>
      </c>
      <c r="AP28" s="55">
        <f t="shared" si="4"/>
        <v>70.579849999999993</v>
      </c>
      <c r="AQ28" s="55">
        <f t="shared" si="5"/>
        <v>76.020624999999995</v>
      </c>
      <c r="AR28" s="54">
        <f t="shared" si="6"/>
        <v>2.5155000000000003</v>
      </c>
      <c r="AS28" s="55">
        <f t="shared" si="7"/>
        <v>67.059150000000002</v>
      </c>
      <c r="AT28" s="64">
        <f t="shared" si="8"/>
        <v>73.579475000000002</v>
      </c>
    </row>
    <row r="29" spans="1:46" x14ac:dyDescent="0.35">
      <c r="A29" s="101"/>
      <c r="B29" s="56">
        <v>0.38</v>
      </c>
      <c r="C29" s="57">
        <v>73.750500000000002</v>
      </c>
      <c r="D29" s="57">
        <v>77.466300000000004</v>
      </c>
      <c r="E29" s="56">
        <v>0.38800000000000001</v>
      </c>
      <c r="F29" s="57">
        <v>72.657799999999995</v>
      </c>
      <c r="G29" s="57">
        <v>76.722899999999996</v>
      </c>
      <c r="H29" s="56">
        <v>0.40699999999999997</v>
      </c>
      <c r="I29" s="57">
        <v>75.221999999999994</v>
      </c>
      <c r="J29" s="57">
        <v>79.389499999999998</v>
      </c>
      <c r="K29" s="56">
        <v>0.47599999999999998</v>
      </c>
      <c r="L29" s="57">
        <v>83.655600000000007</v>
      </c>
      <c r="M29" s="57">
        <v>89.669399999999996</v>
      </c>
      <c r="N29" s="56">
        <v>0.245</v>
      </c>
      <c r="O29" s="57">
        <v>73.682699999999997</v>
      </c>
      <c r="P29" s="57">
        <v>78.021799999999999</v>
      </c>
      <c r="Q29" s="56">
        <v>0.36899999999999999</v>
      </c>
      <c r="R29" s="57">
        <v>70.044700000000006</v>
      </c>
      <c r="S29" s="57">
        <v>74.555899999999994</v>
      </c>
      <c r="T29" s="56">
        <v>0.72299999999999998</v>
      </c>
      <c r="U29" s="57">
        <v>70.603099999999998</v>
      </c>
      <c r="V29" s="57">
        <v>78.366500000000002</v>
      </c>
      <c r="W29" s="56">
        <v>0.745</v>
      </c>
      <c r="X29" s="57">
        <v>68.439599999999999</v>
      </c>
      <c r="Y29" s="57">
        <v>74.243399999999994</v>
      </c>
      <c r="Z29" s="56">
        <v>0.99399999999999999</v>
      </c>
      <c r="AA29" s="57">
        <v>73.242199999999997</v>
      </c>
      <c r="AB29" s="57">
        <v>77.183199999999999</v>
      </c>
      <c r="AC29" s="56">
        <v>2.7269999999999999</v>
      </c>
      <c r="AD29" s="57">
        <v>63.792900000000003</v>
      </c>
      <c r="AE29" s="57">
        <v>68.620099999999994</v>
      </c>
      <c r="AF29" s="56">
        <v>1.7390000000000001</v>
      </c>
      <c r="AG29" s="57">
        <v>67.118399999999994</v>
      </c>
      <c r="AH29" s="57">
        <v>71.240799999999993</v>
      </c>
      <c r="AI29" s="56">
        <v>6.56</v>
      </c>
      <c r="AJ29" s="57">
        <v>65.989500000000007</v>
      </c>
      <c r="AK29" s="57">
        <v>77.848100000000002</v>
      </c>
      <c r="AL29" s="56">
        <f t="shared" si="0"/>
        <v>0.41274999999999995</v>
      </c>
      <c r="AM29" s="57">
        <f t="shared" si="1"/>
        <v>76.321475000000007</v>
      </c>
      <c r="AN29" s="57">
        <f t="shared" si="2"/>
        <v>80.812024999999991</v>
      </c>
      <c r="AO29" s="56">
        <f t="shared" si="3"/>
        <v>0.52049999999999996</v>
      </c>
      <c r="AP29" s="57">
        <f t="shared" si="4"/>
        <v>70.692525000000003</v>
      </c>
      <c r="AQ29" s="57">
        <f t="shared" si="5"/>
        <v>76.296899999999994</v>
      </c>
      <c r="AR29" s="56">
        <f t="shared" si="6"/>
        <v>3.0049999999999999</v>
      </c>
      <c r="AS29" s="57">
        <f t="shared" si="7"/>
        <v>67.535750000000007</v>
      </c>
      <c r="AT29" s="65">
        <f t="shared" si="8"/>
        <v>73.723050000000001</v>
      </c>
    </row>
    <row r="30" spans="1:46" x14ac:dyDescent="0.35">
      <c r="A30" s="99" t="s">
        <v>176</v>
      </c>
      <c r="B30" s="52">
        <v>4.2000000000000003E-2</v>
      </c>
      <c r="C30" s="53">
        <v>66.067599999999999</v>
      </c>
      <c r="D30" s="53">
        <v>68.514700000000005</v>
      </c>
      <c r="E30" s="52">
        <v>4.7E-2</v>
      </c>
      <c r="F30" s="53">
        <v>65.366799999999998</v>
      </c>
      <c r="G30" s="53">
        <v>68.678200000000004</v>
      </c>
      <c r="H30" s="52">
        <v>0.05</v>
      </c>
      <c r="I30" s="53">
        <v>67.247399999999999</v>
      </c>
      <c r="J30" s="53">
        <v>69.617599999999996</v>
      </c>
      <c r="K30" s="52">
        <v>5.5E-2</v>
      </c>
      <c r="L30" s="53">
        <v>77.2286</v>
      </c>
      <c r="M30" s="53">
        <v>82.726600000000005</v>
      </c>
      <c r="N30" s="52">
        <v>2.8000000000000001E-2</v>
      </c>
      <c r="O30" s="53">
        <v>69.588499999999996</v>
      </c>
      <c r="P30" s="53">
        <v>74.881399999999999</v>
      </c>
      <c r="Q30" s="52">
        <v>3.7999999999999999E-2</v>
      </c>
      <c r="R30" s="53">
        <v>66.742800000000003</v>
      </c>
      <c r="S30" s="53">
        <v>71.017899999999997</v>
      </c>
      <c r="T30" s="52">
        <v>8.1000000000000003E-2</v>
      </c>
      <c r="U30" s="53">
        <v>63.330399999999997</v>
      </c>
      <c r="V30" s="53">
        <v>73.233999999999995</v>
      </c>
      <c r="W30" s="52">
        <v>8.8999999999999996E-2</v>
      </c>
      <c r="X30" s="53">
        <v>64.120999999999995</v>
      </c>
      <c r="Y30" s="53">
        <v>68.812899999999999</v>
      </c>
      <c r="Z30" s="52">
        <v>0.10199999999999999</v>
      </c>
      <c r="AA30" s="53">
        <v>69.279499999999999</v>
      </c>
      <c r="AB30" s="53">
        <v>72.299300000000002</v>
      </c>
      <c r="AC30" s="52">
        <v>0.314</v>
      </c>
      <c r="AD30" s="53">
        <v>59.305399999999999</v>
      </c>
      <c r="AE30" s="53">
        <v>64.437600000000003</v>
      </c>
      <c r="AF30" s="52">
        <v>0.19500000000000001</v>
      </c>
      <c r="AG30" s="53">
        <v>63.491900000000001</v>
      </c>
      <c r="AH30" s="53">
        <v>67.686300000000003</v>
      </c>
      <c r="AI30" s="52">
        <v>0.54700000000000004</v>
      </c>
      <c r="AJ30" s="53">
        <v>52.623699999999999</v>
      </c>
      <c r="AK30" s="53">
        <v>66.522499999999994</v>
      </c>
      <c r="AL30" s="52">
        <f t="shared" si="0"/>
        <v>4.8500000000000001E-2</v>
      </c>
      <c r="AM30" s="53">
        <f t="shared" si="1"/>
        <v>68.977599999999995</v>
      </c>
      <c r="AN30" s="53">
        <f t="shared" si="2"/>
        <v>72.384275000000002</v>
      </c>
      <c r="AO30" s="52">
        <f t="shared" si="3"/>
        <v>5.8999999999999997E-2</v>
      </c>
      <c r="AP30" s="53">
        <f t="shared" si="4"/>
        <v>65.945674999999994</v>
      </c>
      <c r="AQ30" s="53">
        <f t="shared" si="5"/>
        <v>71.986549999999994</v>
      </c>
      <c r="AR30" s="52">
        <f t="shared" si="6"/>
        <v>0.28950000000000004</v>
      </c>
      <c r="AS30" s="53">
        <f t="shared" si="7"/>
        <v>61.175124999999994</v>
      </c>
      <c r="AT30" s="63">
        <f t="shared" si="8"/>
        <v>67.736424999999997</v>
      </c>
    </row>
    <row r="31" spans="1:46" x14ac:dyDescent="0.35">
      <c r="A31" s="100"/>
      <c r="B31" s="54">
        <v>0.24399999999999999</v>
      </c>
      <c r="C31" s="55">
        <v>72.861800000000002</v>
      </c>
      <c r="D31" s="55">
        <v>76.471900000000005</v>
      </c>
      <c r="E31" s="54">
        <v>0.24299999999999999</v>
      </c>
      <c r="F31" s="55">
        <v>71.631600000000006</v>
      </c>
      <c r="G31" s="55">
        <v>75.710700000000003</v>
      </c>
      <c r="H31" s="54">
        <v>0.25900000000000001</v>
      </c>
      <c r="I31" s="55">
        <v>74.244500000000002</v>
      </c>
      <c r="J31" s="55">
        <v>78.368099999999998</v>
      </c>
      <c r="K31" s="54">
        <v>0.30399999999999999</v>
      </c>
      <c r="L31" s="55">
        <v>81.761600000000001</v>
      </c>
      <c r="M31" s="55">
        <v>90.004999999999995</v>
      </c>
      <c r="N31" s="54">
        <v>0.156</v>
      </c>
      <c r="O31" s="55">
        <v>73.141999999999996</v>
      </c>
      <c r="P31" s="55">
        <v>79.208699999999993</v>
      </c>
      <c r="Q31" s="54">
        <v>0.23200000000000001</v>
      </c>
      <c r="R31" s="55">
        <v>69.222300000000004</v>
      </c>
      <c r="S31" s="55">
        <v>74.444000000000003</v>
      </c>
      <c r="T31" s="54">
        <v>0.45400000000000001</v>
      </c>
      <c r="U31" s="55">
        <v>70.937700000000007</v>
      </c>
      <c r="V31" s="55">
        <v>78.297799999999995</v>
      </c>
      <c r="W31" s="54">
        <v>0.46600000000000003</v>
      </c>
      <c r="X31" s="55">
        <v>66.957800000000006</v>
      </c>
      <c r="Y31" s="55">
        <v>73.725200000000001</v>
      </c>
      <c r="Z31" s="54">
        <v>0.63800000000000001</v>
      </c>
      <c r="AA31" s="55">
        <v>72.6965</v>
      </c>
      <c r="AB31" s="55">
        <v>76.620199999999997</v>
      </c>
      <c r="AC31" s="54">
        <v>1.6870000000000001</v>
      </c>
      <c r="AD31" s="55">
        <v>63.640799999999999</v>
      </c>
      <c r="AE31" s="55">
        <v>68.552400000000006</v>
      </c>
      <c r="AF31" s="54">
        <v>1.077</v>
      </c>
      <c r="AG31" s="55">
        <v>67.294399999999996</v>
      </c>
      <c r="AH31" s="55">
        <v>72.670500000000004</v>
      </c>
      <c r="AI31" s="54">
        <v>4.1050000000000004</v>
      </c>
      <c r="AJ31" s="55">
        <v>65.820400000000006</v>
      </c>
      <c r="AK31" s="55">
        <v>76.532899999999998</v>
      </c>
      <c r="AL31" s="54">
        <f t="shared" si="0"/>
        <v>0.26249999999999996</v>
      </c>
      <c r="AM31" s="55">
        <f t="shared" si="1"/>
        <v>75.124875000000003</v>
      </c>
      <c r="AN31" s="55">
        <f t="shared" si="2"/>
        <v>80.138925</v>
      </c>
      <c r="AO31" s="54">
        <f t="shared" si="3"/>
        <v>0.32700000000000001</v>
      </c>
      <c r="AP31" s="55">
        <f t="shared" si="4"/>
        <v>70.06495000000001</v>
      </c>
      <c r="AQ31" s="55">
        <f t="shared" si="5"/>
        <v>76.418925000000002</v>
      </c>
      <c r="AR31" s="54">
        <f t="shared" si="6"/>
        <v>1.8767500000000001</v>
      </c>
      <c r="AS31" s="55">
        <f t="shared" si="7"/>
        <v>67.363025000000007</v>
      </c>
      <c r="AT31" s="64">
        <f t="shared" si="8"/>
        <v>73.594000000000008</v>
      </c>
    </row>
    <row r="32" spans="1:46" x14ac:dyDescent="0.35">
      <c r="A32" s="100"/>
      <c r="B32" s="54">
        <v>0.56200000000000006</v>
      </c>
      <c r="C32" s="55">
        <v>74.700500000000005</v>
      </c>
      <c r="D32" s="55">
        <v>78.574100000000001</v>
      </c>
      <c r="E32" s="54">
        <v>0.56100000000000005</v>
      </c>
      <c r="F32" s="55">
        <v>73.3215</v>
      </c>
      <c r="G32" s="55">
        <v>77.526799999999994</v>
      </c>
      <c r="H32" s="54">
        <v>0.60899999999999999</v>
      </c>
      <c r="I32" s="55">
        <v>76.5351</v>
      </c>
      <c r="J32" s="55">
        <v>80.923500000000004</v>
      </c>
      <c r="K32" s="54">
        <v>0.73599999999999999</v>
      </c>
      <c r="L32" s="55">
        <v>82.308400000000006</v>
      </c>
      <c r="M32" s="55">
        <v>91.510499999999993</v>
      </c>
      <c r="N32" s="54">
        <v>0.379</v>
      </c>
      <c r="O32" s="55">
        <v>73.430599999999998</v>
      </c>
      <c r="P32" s="55">
        <v>79.4071</v>
      </c>
      <c r="Q32" s="54">
        <v>0.50600000000000001</v>
      </c>
      <c r="R32" s="55">
        <v>69.765699999999995</v>
      </c>
      <c r="S32" s="55">
        <v>74.979900000000001</v>
      </c>
      <c r="T32" s="54">
        <v>0.95799999999999996</v>
      </c>
      <c r="U32" s="55">
        <v>71.176699999999997</v>
      </c>
      <c r="V32" s="55">
        <v>78.988</v>
      </c>
      <c r="W32" s="54">
        <v>0.99299999999999999</v>
      </c>
      <c r="X32" s="55">
        <v>67.727199999999996</v>
      </c>
      <c r="Y32" s="55">
        <v>74.4148</v>
      </c>
      <c r="Z32" s="54">
        <v>1.3520000000000001</v>
      </c>
      <c r="AA32" s="55">
        <v>72.872500000000002</v>
      </c>
      <c r="AB32" s="55">
        <v>76.555499999999995</v>
      </c>
      <c r="AC32" s="54">
        <v>3.181</v>
      </c>
      <c r="AD32" s="55">
        <v>64.123900000000006</v>
      </c>
      <c r="AE32" s="55">
        <v>68.913399999999996</v>
      </c>
      <c r="AF32" s="54">
        <v>2.2389999999999999</v>
      </c>
      <c r="AG32" s="55">
        <v>67.891900000000007</v>
      </c>
      <c r="AH32" s="55">
        <v>73.074100000000001</v>
      </c>
      <c r="AI32" s="54">
        <v>8.077</v>
      </c>
      <c r="AJ32" s="55">
        <v>64.116900000000001</v>
      </c>
      <c r="AK32" s="55">
        <v>76.610299999999995</v>
      </c>
      <c r="AL32" s="54">
        <f t="shared" si="0"/>
        <v>0.61699999999999999</v>
      </c>
      <c r="AM32" s="55">
        <f t="shared" si="1"/>
        <v>76.716374999999999</v>
      </c>
      <c r="AN32" s="55">
        <f t="shared" si="2"/>
        <v>82.133724999999998</v>
      </c>
      <c r="AO32" s="54">
        <f t="shared" si="3"/>
        <v>0.70900000000000007</v>
      </c>
      <c r="AP32" s="55">
        <f t="shared" si="4"/>
        <v>70.525049999999993</v>
      </c>
      <c r="AQ32" s="55">
        <f t="shared" si="5"/>
        <v>76.947450000000003</v>
      </c>
      <c r="AR32" s="54">
        <f t="shared" si="6"/>
        <v>3.71225</v>
      </c>
      <c r="AS32" s="55">
        <f t="shared" si="7"/>
        <v>67.251300000000001</v>
      </c>
      <c r="AT32" s="64">
        <f t="shared" si="8"/>
        <v>73.788325</v>
      </c>
    </row>
    <row r="33" spans="1:46" x14ac:dyDescent="0.35">
      <c r="A33" s="101"/>
      <c r="B33" s="56">
        <v>0.66400000000000003</v>
      </c>
      <c r="C33" s="57">
        <v>74.916300000000007</v>
      </c>
      <c r="D33" s="57">
        <v>78.828199999999995</v>
      </c>
      <c r="E33" s="56">
        <v>0.66800000000000004</v>
      </c>
      <c r="F33" s="57">
        <v>73.582300000000004</v>
      </c>
      <c r="G33" s="57">
        <v>77.826300000000003</v>
      </c>
      <c r="H33" s="56">
        <v>0.73099999999999998</v>
      </c>
      <c r="I33" s="57">
        <v>77.002200000000002</v>
      </c>
      <c r="J33" s="57">
        <v>81.430199999999999</v>
      </c>
      <c r="K33" s="56">
        <v>0.89700000000000002</v>
      </c>
      <c r="L33" s="57">
        <v>84.594800000000006</v>
      </c>
      <c r="M33" s="57">
        <v>92.021299999999997</v>
      </c>
      <c r="N33" s="56">
        <v>0.46200000000000002</v>
      </c>
      <c r="O33" s="57">
        <v>73.752799999999993</v>
      </c>
      <c r="P33" s="57">
        <v>79.4846</v>
      </c>
      <c r="Q33" s="56">
        <v>0.60099999999999998</v>
      </c>
      <c r="R33" s="57">
        <v>70.013300000000001</v>
      </c>
      <c r="S33" s="57">
        <v>75.486099999999993</v>
      </c>
      <c r="T33" s="56">
        <v>1.1479999999999999</v>
      </c>
      <c r="U33" s="57">
        <v>72.337800000000001</v>
      </c>
      <c r="V33" s="57">
        <v>79.684899999999999</v>
      </c>
      <c r="W33" s="56">
        <v>1.1919999999999999</v>
      </c>
      <c r="X33" s="57">
        <v>68.363699999999994</v>
      </c>
      <c r="Y33" s="57">
        <v>74.752099999999999</v>
      </c>
      <c r="Z33" s="56">
        <v>1.64</v>
      </c>
      <c r="AA33" s="57">
        <v>73.007800000000003</v>
      </c>
      <c r="AB33" s="57">
        <v>76.979600000000005</v>
      </c>
      <c r="AC33" s="56">
        <v>3.7909999999999999</v>
      </c>
      <c r="AD33" s="57">
        <v>65.259699999999995</v>
      </c>
      <c r="AE33" s="57">
        <v>70.217500000000001</v>
      </c>
      <c r="AF33" s="56">
        <v>2.6869999999999998</v>
      </c>
      <c r="AG33" s="57">
        <v>68.489599999999996</v>
      </c>
      <c r="AH33" s="57">
        <v>73.985600000000005</v>
      </c>
      <c r="AI33" s="56">
        <v>9.7379999999999995</v>
      </c>
      <c r="AJ33" s="57">
        <v>67.745900000000006</v>
      </c>
      <c r="AK33" s="57">
        <v>76.388000000000005</v>
      </c>
      <c r="AL33" s="56">
        <f t="shared" si="0"/>
        <v>0.7400000000000001</v>
      </c>
      <c r="AM33" s="57">
        <f t="shared" si="1"/>
        <v>77.523899999999998</v>
      </c>
      <c r="AN33" s="57">
        <f t="shared" si="2"/>
        <v>82.526499999999999</v>
      </c>
      <c r="AO33" s="56">
        <f t="shared" si="3"/>
        <v>0.8507499999999999</v>
      </c>
      <c r="AP33" s="57">
        <f t="shared" si="4"/>
        <v>71.116900000000001</v>
      </c>
      <c r="AQ33" s="57">
        <f t="shared" si="5"/>
        <v>77.351924999999994</v>
      </c>
      <c r="AR33" s="56">
        <f t="shared" si="6"/>
        <v>4.4640000000000004</v>
      </c>
      <c r="AS33" s="57">
        <f t="shared" si="7"/>
        <v>68.625750000000011</v>
      </c>
      <c r="AT33" s="65">
        <f t="shared" si="8"/>
        <v>74.392674999999997</v>
      </c>
    </row>
    <row r="34" spans="1:46" x14ac:dyDescent="0.35">
      <c r="A34" s="99" t="s">
        <v>177</v>
      </c>
      <c r="B34" s="52">
        <v>1.7691718176658499E-2</v>
      </c>
      <c r="C34" s="53">
        <v>60.238700000000001</v>
      </c>
      <c r="D34" s="53">
        <v>61.864699999999999</v>
      </c>
      <c r="E34" s="52">
        <v>1.8533138174156999E-2</v>
      </c>
      <c r="F34" s="53">
        <v>59.203000000000003</v>
      </c>
      <c r="G34" s="53">
        <v>61.412100000000002</v>
      </c>
      <c r="H34" s="52">
        <v>2.0237060080378899E-2</v>
      </c>
      <c r="I34" s="53">
        <v>60.1858</v>
      </c>
      <c r="J34" s="53">
        <v>61.546199999999999</v>
      </c>
      <c r="K34" s="52">
        <v>2.45401673686951E-2</v>
      </c>
      <c r="L34" s="53">
        <v>73.370900000000006</v>
      </c>
      <c r="M34" s="53">
        <v>74.2363</v>
      </c>
      <c r="N34" s="52">
        <v>0.10378447704536201</v>
      </c>
      <c r="O34" s="53">
        <v>74.163300000000007</v>
      </c>
      <c r="P34" s="53">
        <v>78.124600000000001</v>
      </c>
      <c r="Q34" s="52">
        <v>0.17453918488186099</v>
      </c>
      <c r="R34" s="53">
        <v>70.2333</v>
      </c>
      <c r="S34" s="53">
        <v>73.813900000000004</v>
      </c>
      <c r="T34" s="52">
        <v>0.37728456829875401</v>
      </c>
      <c r="U34" s="53">
        <v>74.130600000000001</v>
      </c>
      <c r="V34" s="53">
        <v>79.162999999999997</v>
      </c>
      <c r="W34" s="52">
        <v>0.39932209124200702</v>
      </c>
      <c r="X34" s="53">
        <v>69.205500000000001</v>
      </c>
      <c r="Y34" s="53">
        <v>72.683599999999998</v>
      </c>
      <c r="Z34" s="52">
        <v>0.134593383691894</v>
      </c>
      <c r="AA34" s="53">
        <v>70.752799999999993</v>
      </c>
      <c r="AB34" s="53">
        <v>74.441999999999993</v>
      </c>
      <c r="AC34" s="52">
        <v>0.41843068920044302</v>
      </c>
      <c r="AD34" s="53">
        <v>61.841999999999999</v>
      </c>
      <c r="AE34" s="53">
        <v>66.535799999999995</v>
      </c>
      <c r="AF34" s="52">
        <v>0.245835034465263</v>
      </c>
      <c r="AG34" s="53">
        <v>64.569400000000002</v>
      </c>
      <c r="AH34" s="53">
        <v>68.157399999999996</v>
      </c>
      <c r="AI34" s="52">
        <v>0.66416565047220999</v>
      </c>
      <c r="AJ34" s="53">
        <v>68.186499999999995</v>
      </c>
      <c r="AK34" s="53">
        <v>77.840500000000006</v>
      </c>
      <c r="AL34" s="52">
        <f t="shared" si="0"/>
        <v>2.0250520949972376E-2</v>
      </c>
      <c r="AM34" s="53">
        <f t="shared" si="1"/>
        <v>63.249600000000001</v>
      </c>
      <c r="AN34" s="53">
        <f t="shared" si="2"/>
        <v>64.764825000000002</v>
      </c>
      <c r="AO34" s="52">
        <f t="shared" si="3"/>
        <v>0.26373258036699598</v>
      </c>
      <c r="AP34" s="53">
        <f t="shared" si="4"/>
        <v>71.933175000000006</v>
      </c>
      <c r="AQ34" s="53">
        <f t="shared" si="5"/>
        <v>75.946275</v>
      </c>
      <c r="AR34" s="52">
        <f t="shared" si="6"/>
        <v>0.36575618945745247</v>
      </c>
      <c r="AS34" s="53">
        <f t="shared" si="7"/>
        <v>66.33767499999999</v>
      </c>
      <c r="AT34" s="63">
        <f t="shared" si="8"/>
        <v>71.743925000000004</v>
      </c>
    </row>
    <row r="35" spans="1:46" x14ac:dyDescent="0.35">
      <c r="A35" s="100"/>
      <c r="B35" s="54">
        <v>3.7538251713644701E-2</v>
      </c>
      <c r="C35" s="55">
        <v>64.652000000000001</v>
      </c>
      <c r="D35" s="55">
        <v>66.912599999999998</v>
      </c>
      <c r="E35" s="54">
        <v>4.0199996889134698E-2</v>
      </c>
      <c r="F35" s="55">
        <v>63.983400000000003</v>
      </c>
      <c r="G35" s="55">
        <v>66.772800000000004</v>
      </c>
      <c r="H35" s="54">
        <v>4.2119529038436597E-2</v>
      </c>
      <c r="I35" s="55">
        <v>64.5364</v>
      </c>
      <c r="J35" s="55">
        <v>66.535600000000002</v>
      </c>
      <c r="K35" s="54">
        <v>4.7442108609153003E-2</v>
      </c>
      <c r="L35" s="55">
        <v>77.363</v>
      </c>
      <c r="M35" s="55">
        <v>78.994100000000003</v>
      </c>
      <c r="N35" s="54">
        <v>0.38127672243876098</v>
      </c>
      <c r="O35" s="55">
        <v>76.619100000000003</v>
      </c>
      <c r="P35" s="55">
        <v>83.811000000000007</v>
      </c>
      <c r="Q35" s="54">
        <v>0.78671738769516597</v>
      </c>
      <c r="R35" s="55">
        <v>73.644099999999995</v>
      </c>
      <c r="S35" s="55">
        <v>78.246099999999998</v>
      </c>
      <c r="T35" s="54">
        <v>1.38604476044876</v>
      </c>
      <c r="U35" s="55">
        <v>79.077399999999997</v>
      </c>
      <c r="V35" s="55">
        <v>84.661600000000007</v>
      </c>
      <c r="W35" s="54">
        <v>1.5632450652690799</v>
      </c>
      <c r="X35" s="55">
        <v>72.845100000000002</v>
      </c>
      <c r="Y35" s="55">
        <v>77.856800000000007</v>
      </c>
      <c r="Z35" s="54">
        <v>0.45631562007892601</v>
      </c>
      <c r="AA35" s="55">
        <v>73.333100000000002</v>
      </c>
      <c r="AB35" s="55">
        <v>77.567999999999998</v>
      </c>
      <c r="AC35" s="54">
        <v>1.3415254706272099</v>
      </c>
      <c r="AD35" s="55">
        <v>65.744500000000002</v>
      </c>
      <c r="AE35" s="55">
        <v>70.453400000000002</v>
      </c>
      <c r="AF35" s="54">
        <v>0.92802923700764595</v>
      </c>
      <c r="AG35" s="55">
        <v>66.806100000000001</v>
      </c>
      <c r="AH35" s="55">
        <v>70.758399999999995</v>
      </c>
      <c r="AI35" s="54">
        <v>2.69395230226309</v>
      </c>
      <c r="AJ35" s="55">
        <v>71.508300000000006</v>
      </c>
      <c r="AK35" s="55">
        <v>77.659099999999995</v>
      </c>
      <c r="AL35" s="54">
        <f t="shared" si="0"/>
        <v>4.1824971562592246E-2</v>
      </c>
      <c r="AM35" s="55">
        <f t="shared" si="1"/>
        <v>67.633700000000005</v>
      </c>
      <c r="AN35" s="55">
        <f t="shared" si="2"/>
        <v>69.803775000000002</v>
      </c>
      <c r="AO35" s="54">
        <f t="shared" si="3"/>
        <v>1.0293209839629416</v>
      </c>
      <c r="AP35" s="55">
        <f t="shared" si="4"/>
        <v>75.546424999999999</v>
      </c>
      <c r="AQ35" s="55">
        <f t="shared" si="5"/>
        <v>81.143875000000008</v>
      </c>
      <c r="AR35" s="54">
        <f t="shared" si="6"/>
        <v>1.3549556574942179</v>
      </c>
      <c r="AS35" s="55">
        <f t="shared" si="7"/>
        <v>69.347999999999999</v>
      </c>
      <c r="AT35" s="64">
        <f t="shared" si="8"/>
        <v>74.109724999999997</v>
      </c>
    </row>
    <row r="36" spans="1:46" x14ac:dyDescent="0.35">
      <c r="A36" s="100"/>
      <c r="B36" s="54">
        <v>8.7834378497165896E-2</v>
      </c>
      <c r="C36" s="55">
        <v>67.309899999999999</v>
      </c>
      <c r="D36" s="55">
        <v>70.047200000000004</v>
      </c>
      <c r="E36" s="54">
        <v>9.9380080749172497E-2</v>
      </c>
      <c r="F36" s="55">
        <v>66.787199999999999</v>
      </c>
      <c r="G36" s="55">
        <v>69.985799999999998</v>
      </c>
      <c r="H36" s="54">
        <v>0.10383705310208199</v>
      </c>
      <c r="I36" s="55">
        <v>67.596000000000004</v>
      </c>
      <c r="J36" s="55">
        <v>70.251300000000001</v>
      </c>
      <c r="K36" s="54">
        <v>0.108912646575394</v>
      </c>
      <c r="L36" s="55">
        <v>79.410600000000002</v>
      </c>
      <c r="M36" s="55">
        <v>81.739099999999993</v>
      </c>
      <c r="N36" s="54">
        <v>0.71568141055828804</v>
      </c>
      <c r="O36" s="55">
        <v>77.051299999999998</v>
      </c>
      <c r="P36" s="55">
        <v>84.9495</v>
      </c>
      <c r="Q36" s="54">
        <v>1.63769387748788</v>
      </c>
      <c r="R36" s="55">
        <v>75.674300000000002</v>
      </c>
      <c r="S36" s="55">
        <v>80.663399999999996</v>
      </c>
      <c r="T36" s="54">
        <v>2.47562209844269</v>
      </c>
      <c r="U36" s="55">
        <v>81.215100000000007</v>
      </c>
      <c r="V36" s="55">
        <v>86.9</v>
      </c>
      <c r="W36" s="54">
        <v>2.9758615612577</v>
      </c>
      <c r="X36" s="55">
        <v>74.762</v>
      </c>
      <c r="Y36" s="55">
        <v>80.082899999999995</v>
      </c>
      <c r="Z36" s="54">
        <v>1.7404917382948</v>
      </c>
      <c r="AA36" s="55">
        <v>76.603300000000004</v>
      </c>
      <c r="AB36" s="55">
        <v>80.536000000000001</v>
      </c>
      <c r="AC36" s="54">
        <v>3.4129844116333001</v>
      </c>
      <c r="AD36" s="55">
        <v>70.406800000000004</v>
      </c>
      <c r="AE36" s="55">
        <v>75.205100000000002</v>
      </c>
      <c r="AF36" s="54">
        <v>3.2329487123587399</v>
      </c>
      <c r="AG36" s="55">
        <v>70.587800000000001</v>
      </c>
      <c r="AH36" s="55">
        <v>75.357299999999995</v>
      </c>
      <c r="AI36" s="54">
        <v>5.4752747734675697</v>
      </c>
      <c r="AJ36" s="55">
        <v>76.303700000000006</v>
      </c>
      <c r="AK36" s="55">
        <v>82.480400000000003</v>
      </c>
      <c r="AL36" s="54">
        <f t="shared" ref="AL36" si="18">AVERAGE(K36,H36,B36,E36)</f>
        <v>9.9991039730953593E-2</v>
      </c>
      <c r="AM36" s="55">
        <f t="shared" ref="AM36" si="19">AVERAGE(L36,I36,C36,F36)</f>
        <v>70.275925000000001</v>
      </c>
      <c r="AN36" s="55">
        <f t="shared" ref="AN36" si="20">AVERAGE(M36,J36,D36,G36)</f>
        <v>73.005849999999995</v>
      </c>
      <c r="AO36" s="54">
        <f t="shared" ref="AO36" si="21">AVERAGE(W36,Q36,N36,T36)</f>
        <v>1.9512147369366395</v>
      </c>
      <c r="AP36" s="55">
        <f t="shared" ref="AP36" si="22">AVERAGE(X36,R36,O36,U36)</f>
        <v>77.175675000000012</v>
      </c>
      <c r="AQ36" s="55">
        <f t="shared" ref="AQ36" si="23">AVERAGE(Y36,S36,P36,V36)</f>
        <v>83.148949999999999</v>
      </c>
      <c r="AR36" s="54">
        <f t="shared" ref="AR36" si="24">AVERAGE(AC36,AF36,AI36,Z36)</f>
        <v>3.4654249089386022</v>
      </c>
      <c r="AS36" s="55">
        <f t="shared" ref="AS36" si="25">AVERAGE(AD36,AG36,AJ36,AA36)</f>
        <v>73.475399999999993</v>
      </c>
      <c r="AT36" s="64">
        <f t="shared" ref="AT36" si="26">AVERAGE(AE36,AH36,AK36,AB36)</f>
        <v>78.3947</v>
      </c>
    </row>
    <row r="37" spans="1:46" x14ac:dyDescent="0.35">
      <c r="A37" s="100"/>
      <c r="B37" s="54">
        <v>0.208901653414623</v>
      </c>
      <c r="C37" s="55">
        <v>70.413499999999999</v>
      </c>
      <c r="D37" s="55">
        <v>73.572800000000001</v>
      </c>
      <c r="E37" s="54">
        <v>0.23066875031148301</v>
      </c>
      <c r="F37" s="55">
        <v>69.901700000000005</v>
      </c>
      <c r="G37" s="55">
        <v>73.733999999999995</v>
      </c>
      <c r="H37" s="54">
        <v>0.227103152996397</v>
      </c>
      <c r="I37" s="55">
        <v>71.185500000000005</v>
      </c>
      <c r="J37" s="55">
        <v>74.660399999999996</v>
      </c>
      <c r="K37" s="54">
        <v>0.24980009360379399</v>
      </c>
      <c r="L37" s="55">
        <v>81.940100000000001</v>
      </c>
      <c r="M37" s="55">
        <v>85.280699999999996</v>
      </c>
      <c r="N37" s="54">
        <v>1.5146496578239499</v>
      </c>
      <c r="O37" s="55">
        <v>77.941599999999994</v>
      </c>
      <c r="P37" s="55">
        <v>85.792000000000002</v>
      </c>
      <c r="Q37" s="54">
        <v>2.4915197643926401</v>
      </c>
      <c r="R37" s="55">
        <v>76.174199999999999</v>
      </c>
      <c r="S37" s="55">
        <v>81.612700000000004</v>
      </c>
      <c r="T37" s="54">
        <v>3.4580859388556799</v>
      </c>
      <c r="U37" s="55">
        <v>81.776399999999995</v>
      </c>
      <c r="V37" s="55">
        <v>87.701700000000002</v>
      </c>
      <c r="W37" s="54">
        <v>4.2328121622595196</v>
      </c>
      <c r="X37" s="55">
        <v>75.199700000000007</v>
      </c>
      <c r="Y37" s="55">
        <v>80.757599999999996</v>
      </c>
      <c r="Z37" s="54">
        <v>3.3552442705474399</v>
      </c>
      <c r="AA37" s="55">
        <v>79.989000000000004</v>
      </c>
      <c r="AB37" s="55">
        <v>84.112200000000001</v>
      </c>
      <c r="AC37" s="54">
        <v>5.2450177020892896</v>
      </c>
      <c r="AD37" s="55">
        <v>74.255899999999997</v>
      </c>
      <c r="AE37" s="55">
        <v>79.027500000000003</v>
      </c>
      <c r="AF37" s="54">
        <v>5.3293642457081898</v>
      </c>
      <c r="AG37" s="55">
        <v>74.0672</v>
      </c>
      <c r="AH37" s="55">
        <v>78.870800000000003</v>
      </c>
      <c r="AI37" s="54">
        <v>7.1291972840668203</v>
      </c>
      <c r="AJ37" s="55">
        <v>80.615600000000001</v>
      </c>
      <c r="AK37" s="55">
        <v>86.355500000000006</v>
      </c>
      <c r="AL37" s="54">
        <f t="shared" si="0"/>
        <v>0.22911841258157425</v>
      </c>
      <c r="AM37" s="55">
        <f t="shared" si="1"/>
        <v>73.360200000000006</v>
      </c>
      <c r="AN37" s="55">
        <f t="shared" si="2"/>
        <v>76.811975000000004</v>
      </c>
      <c r="AO37" s="54">
        <f t="shared" si="3"/>
        <v>2.9242668808329473</v>
      </c>
      <c r="AP37" s="55">
        <f t="shared" si="4"/>
        <v>77.772975000000002</v>
      </c>
      <c r="AQ37" s="55">
        <f t="shared" si="5"/>
        <v>83.965999999999994</v>
      </c>
      <c r="AR37" s="54">
        <f t="shared" si="6"/>
        <v>5.2647058756029352</v>
      </c>
      <c r="AS37" s="55">
        <f t="shared" si="7"/>
        <v>77.231925000000004</v>
      </c>
      <c r="AT37" s="64">
        <f t="shared" si="8"/>
        <v>82.091499999999996</v>
      </c>
    </row>
    <row r="38" spans="1:46" x14ac:dyDescent="0.35">
      <c r="A38" s="101"/>
      <c r="B38" s="56">
        <v>0.34790007043766402</v>
      </c>
      <c r="C38" s="57">
        <v>72.301500000000004</v>
      </c>
      <c r="D38" s="57">
        <v>76.113399999999999</v>
      </c>
      <c r="E38" s="56">
        <v>0.36500733751522402</v>
      </c>
      <c r="F38" s="57">
        <v>71.218299999999999</v>
      </c>
      <c r="G38" s="57">
        <v>75.378399999999999</v>
      </c>
      <c r="H38" s="56">
        <v>0.35013419447961602</v>
      </c>
      <c r="I38" s="57">
        <v>72.710400000000007</v>
      </c>
      <c r="J38" s="57">
        <v>76.566299999999998</v>
      </c>
      <c r="K38" s="56">
        <v>0.39202930150165399</v>
      </c>
      <c r="L38" s="57">
        <v>82.6006</v>
      </c>
      <c r="M38" s="57">
        <v>86.267899999999997</v>
      </c>
      <c r="N38" s="56">
        <v>2.6997545149917599</v>
      </c>
      <c r="O38" s="57">
        <v>79.373999999999995</v>
      </c>
      <c r="P38" s="57">
        <v>85.767300000000006</v>
      </c>
      <c r="Q38" s="56">
        <v>4.0284832466957896</v>
      </c>
      <c r="R38" s="57">
        <v>78.295900000000003</v>
      </c>
      <c r="S38" s="57">
        <v>83.568200000000004</v>
      </c>
      <c r="T38" s="56">
        <v>5.4694742938192702</v>
      </c>
      <c r="U38" s="57">
        <v>83.710700000000003</v>
      </c>
      <c r="V38" s="57">
        <v>88.874300000000005</v>
      </c>
      <c r="W38" s="56">
        <v>6.4646030756507296</v>
      </c>
      <c r="X38" s="57">
        <v>77.481899999999996</v>
      </c>
      <c r="Y38" s="57">
        <v>82.743399999999994</v>
      </c>
      <c r="Z38" s="56">
        <v>5.94924226787764</v>
      </c>
      <c r="AA38" s="57">
        <v>81.080799999999996</v>
      </c>
      <c r="AB38" s="57">
        <v>87.339699999999993</v>
      </c>
      <c r="AC38" s="56">
        <v>8.0695827759953396</v>
      </c>
      <c r="AD38" s="57">
        <v>74.518699999999995</v>
      </c>
      <c r="AE38" s="57">
        <v>79.416399999999996</v>
      </c>
      <c r="AF38" s="56">
        <v>8.4591431051636405</v>
      </c>
      <c r="AG38" s="57">
        <v>73.521299999999997</v>
      </c>
      <c r="AH38" s="57">
        <v>79.426699999999997</v>
      </c>
      <c r="AI38" s="56">
        <v>10.3264843581234</v>
      </c>
      <c r="AJ38" s="57">
        <v>79.521500000000003</v>
      </c>
      <c r="AK38" s="57">
        <v>86.391000000000005</v>
      </c>
      <c r="AL38" s="56">
        <f t="shared" si="0"/>
        <v>0.36376772598353951</v>
      </c>
      <c r="AM38" s="57">
        <f t="shared" si="1"/>
        <v>74.707700000000003</v>
      </c>
      <c r="AN38" s="57">
        <f t="shared" si="2"/>
        <v>78.581500000000005</v>
      </c>
      <c r="AO38" s="56">
        <f t="shared" si="3"/>
        <v>4.6655787827893871</v>
      </c>
      <c r="AP38" s="57">
        <f t="shared" si="4"/>
        <v>79.715625000000003</v>
      </c>
      <c r="AQ38" s="57">
        <f t="shared" si="5"/>
        <v>85.23830000000001</v>
      </c>
      <c r="AR38" s="56">
        <f t="shared" si="6"/>
        <v>8.2011131267900055</v>
      </c>
      <c r="AS38" s="57">
        <f t="shared" si="7"/>
        <v>77.160574999999994</v>
      </c>
      <c r="AT38" s="65">
        <f t="shared" si="8"/>
        <v>83.143450000000001</v>
      </c>
    </row>
    <row r="39" spans="1:46" x14ac:dyDescent="0.35">
      <c r="A39" s="51"/>
    </row>
    <row r="41" spans="1:46" x14ac:dyDescent="0.35">
      <c r="A41" t="s">
        <v>138</v>
      </c>
    </row>
    <row r="42" spans="1:46" x14ac:dyDescent="0.35">
      <c r="A42" s="80" t="s">
        <v>186</v>
      </c>
      <c r="C42" s="1"/>
      <c r="D42" s="1"/>
      <c r="F42" s="1"/>
      <c r="G42" s="1"/>
      <c r="I42" s="1"/>
      <c r="J42" s="1"/>
      <c r="L42" s="1"/>
      <c r="M42" s="1"/>
      <c r="O42" s="1"/>
      <c r="P42" s="1"/>
      <c r="R42" s="1"/>
      <c r="S42" s="1"/>
      <c r="U42" s="1"/>
      <c r="V42" s="1"/>
      <c r="X42" s="1"/>
      <c r="Y42" s="1"/>
      <c r="AA42" s="1"/>
      <c r="AB42" s="1"/>
      <c r="AD42" s="1"/>
      <c r="AE42" s="1"/>
      <c r="AG42" s="1"/>
      <c r="AH42" s="1"/>
      <c r="AJ42" s="1"/>
      <c r="AK42" s="1"/>
    </row>
    <row r="43" spans="1:46" x14ac:dyDescent="0.35">
      <c r="A43" s="108" t="str">
        <f>A11</f>
        <v>G-PCC Octree v24</v>
      </c>
      <c r="B43" t="s">
        <v>17</v>
      </c>
      <c r="C43" s="10" cm="1">
        <f t="array" ref="C43">bdRateExtend(B11:B16,C11:C16,B$3:B$6,C$3:C$6)</f>
        <v>-0.85136602181034093</v>
      </c>
      <c r="D43" s="10" cm="1">
        <f t="array" ref="D43">bdRateExtend(B11:B16,D11:D16,B$3:B$6,D$3:D$6)</f>
        <v>-0.75482706132501909</v>
      </c>
      <c r="F43" s="10" cm="1">
        <f t="array" ref="F43">bdRateExtend(E11:E16,F11:F16,E$3:E$6,F$3:F$6)</f>
        <v>-0.82727817028016459</v>
      </c>
      <c r="G43" s="10" cm="1">
        <f t="array" ref="G43">bdRateExtend(E11:E16,G11:G16,E$3:E$6,G$3:G$6)</f>
        <v>-0.77090855654957002</v>
      </c>
      <c r="I43" s="10" cm="1">
        <f t="array" ref="I43">bdRateExtend(H11:H16,I11:I16,H$3:H$6,I$3:I$6)</f>
        <v>-0.88203515045455938</v>
      </c>
      <c r="J43" s="10" cm="1">
        <f t="array" ref="J43">bdRateExtend(H11:H16,J11:J16,H$3:H$6,J$3:J$6)</f>
        <v>-0.81993277887898941</v>
      </c>
      <c r="L43" s="10" cm="1">
        <f t="array" ref="L43">bdRateExtend(K11:K16,L11:L16,K$3:K$6,L$3:L$6)</f>
        <v>-0.91321827242835929</v>
      </c>
      <c r="M43" s="10" cm="1">
        <f t="array" ref="M43">bdRateExtend(K11:K16,M11:M16,K$3:K$6,M$3:M$6)</f>
        <v>-0.83636093877859463</v>
      </c>
      <c r="O43" s="10" cm="1">
        <f t="array" ref="O43">bdRateExtend(N11:N16,O11:O16,N$3:N$6,O$3:O$6)</f>
        <v>-0.79927690209905633</v>
      </c>
      <c r="P43" s="10" cm="1">
        <f t="array" ref="P43">bdRateExtend(N11:N16,P11:P16,N$3:N$6,P$3:P$6)</f>
        <v>-0.88886878955639892</v>
      </c>
      <c r="R43" s="10" cm="1">
        <f t="array" ref="R43">bdRateExtend(Q11:Q16,R11:R16,Q$3:Q$6,R$3:R$6)</f>
        <v>-0.57621064428848345</v>
      </c>
      <c r="S43" s="10" cm="1">
        <f t="array" ref="S43">bdRateExtend(Q11:Q16,S11:S16,Q$3:Q$6,S$3:S$6)</f>
        <v>-0.60860832295388168</v>
      </c>
      <c r="U43" s="10" cm="1">
        <f t="array" ref="U43">bdRateExtend(T11:T16,U11:U16,T$3:T$6,U$3:U$6)</f>
        <v>-0.31905658337122833</v>
      </c>
      <c r="V43" s="10" cm="1">
        <f t="array" ref="V43">bdRateExtend(T11:T16,V11:V16,T$3:T$6,V$3:V$6)</f>
        <v>-0.19958329663872232</v>
      </c>
      <c r="X43" s="10" cm="1">
        <f t="array" ref="X43">bdRateExtend(W11:W16,X11:X16,W$3:W$6,X$3:X$6)</f>
        <v>-0.3124574157813288</v>
      </c>
      <c r="Y43" s="10" cm="1">
        <f t="array" ref="Y43">bdRateExtend(W11:W16,Y11:Y16,W$3:W$6,Y$3:Y$6)</f>
        <v>-0.53908523615709913</v>
      </c>
      <c r="AA43" s="10" cm="1">
        <f t="array" ref="AA43">bdRateExtend(Z11:Z16,AA11:AA16,Z$3:Z$6,AA$3:AA$6)</f>
        <v>-0.28319752815394206</v>
      </c>
      <c r="AB43" s="10" cm="1">
        <f t="array" ref="AB43">bdRateExtend(Z11:Z16,AB11:AB16,Z$3:Z$6,AB$3:AB$6)</f>
        <v>-0.14597095805086169</v>
      </c>
      <c r="AD43" s="10" cm="1">
        <f t="array" ref="AD43">bdRateExtend(AC11:AC16,AD11:AD16,AC$3:AC$6,AD$3:AD$6)</f>
        <v>-0.29206605159005605</v>
      </c>
      <c r="AE43" s="10" cm="1">
        <f t="array" ref="AE43">bdRateExtend(AC11:AC16,AE11:AE16,AC$3:AC$6,AE$3:AE$6)</f>
        <v>-0.19180128379858064</v>
      </c>
      <c r="AG43" s="10" cm="1">
        <f t="array" ref="AG43">bdRateExtend(AF11:AF16,AG11:AG16,AF$3:AF$6,AG$3:AG$6)</f>
        <v>-0.35223289786476064</v>
      </c>
      <c r="AH43" s="10" cm="1">
        <f t="array" ref="AH43">bdRateExtend(AF11:AF16,AH11:AH16,AF$3:AF$6,AH$3:AH$6)</f>
        <v>-0.27098148466254357</v>
      </c>
      <c r="AJ43" s="10" cm="1">
        <f t="array" ref="AJ43">bdRateExtend(AI11:AI16,AJ11:AJ16,AI$3:AI$6,AJ$3:AJ$6)</f>
        <v>0.45111905797165686</v>
      </c>
      <c r="AK43" s="10" cm="1">
        <f t="array" ref="AK43">bdRateExtend(AI11:AI16,AK11:AK16,AI$3:AI$6,AK$3:AK$6)</f>
        <v>-0.38668344719916714</v>
      </c>
    </row>
    <row r="44" spans="1:46" x14ac:dyDescent="0.35">
      <c r="A44" s="108"/>
      <c r="B44" t="s">
        <v>18</v>
      </c>
      <c r="C44" s="1" cm="1">
        <f t="array" ref="C44">bdPSNRExtend(B11:B16,C11:C16,B$3:B$6,C$3:C$6)</f>
        <v>8.2115699132353743</v>
      </c>
      <c r="D44" s="1" cm="1">
        <f t="array" ref="D44">bdPSNRExtend(B11:B16,D11:D16,B$3:B$6,D$3:D$6)</f>
        <v>6.8127711240700624</v>
      </c>
      <c r="F44" s="1" cm="1">
        <f t="array" ref="F44">bdPSNRExtend(E11:E16,F11:F16,E$3:E$6,F$3:F$6)</f>
        <v>7.1252310047476408</v>
      </c>
      <c r="G44" s="1" cm="1">
        <f t="array" ref="G44">bdPSNRExtend(E11:E16,G11:G16,E$3:E$6,G$3:G$6)</f>
        <v>6.0415256936379125</v>
      </c>
      <c r="I44" s="1" cm="1">
        <f t="array" ref="I44">bdPSNRExtend(H11:H16,I11:I16,H$3:H$6,I$3:I$6)</f>
        <v>10.294482040289239</v>
      </c>
      <c r="J44" s="1" cm="1">
        <f t="array" ref="J44">bdPSNRExtend(H11:H16,J11:J16,H$3:H$6,J$3:J$6)</f>
        <v>9.1551694613366248</v>
      </c>
      <c r="L44" s="1" cm="1">
        <f t="array" ref="L44">bdPSNRExtend(K11:K16,L11:L16,K$3:K$6,L$3:L$6)</f>
        <v>10.011531696215293</v>
      </c>
      <c r="M44" s="1" cm="1">
        <f t="array" ref="M44">bdPSNRExtend(K11:K16,M11:M16,K$3:K$6,M$3:M$6)</f>
        <v>8.9976804524482343</v>
      </c>
      <c r="O44" s="1" cm="1">
        <f t="array" ref="O44">bdPSNRExtend(N11:N16,O11:O16,N$3:N$6,O$3:O$6)</f>
        <v>5.6610888036520572</v>
      </c>
      <c r="P44" s="1" cm="1">
        <f t="array" ref="P44">bdPSNRExtend(N11:N16,P11:P16,N$3:N$6,P$3:P$6)</f>
        <v>8.4562168166195644</v>
      </c>
      <c r="R44" s="1" cm="1">
        <f t="array" ref="R44">bdPSNRExtend(Q11:Q16,R11:R16,Q$3:Q$6,R$3:R$6)</f>
        <v>3.1254999082313031</v>
      </c>
      <c r="S44" s="1" cm="1">
        <f t="array" ref="S44">bdPSNRExtend(Q11:Q16,S11:S16,Q$3:Q$6,S$3:S$6)</f>
        <v>3.7113541140424777</v>
      </c>
      <c r="U44" s="1" cm="1">
        <f t="array" ref="U44">bdPSNRExtend(T11:T16,U11:U16,T$3:T$6,U$3:U$6)</f>
        <v>1.5477271090568543</v>
      </c>
      <c r="V44" s="1" cm="1">
        <f t="array" ref="V44">bdPSNRExtend(T11:T16,V11:V16,T$3:T$6,V$3:V$6)</f>
        <v>0.93814791678832743</v>
      </c>
      <c r="X44" s="1" cm="1">
        <f t="array" ref="X44">bdPSNRExtend(W11:W16,X11:X16,W$3:W$6,X$3:X$6)</f>
        <v>1.7769539893297539</v>
      </c>
      <c r="Y44" s="1" cm="1">
        <f t="array" ref="Y44">bdPSNRExtend(W11:W16,Y11:Y16,W$3:W$6,Y$3:Y$6)</f>
        <v>3.5420655357265605</v>
      </c>
      <c r="AA44" s="1" cm="1">
        <f t="array" ref="AA44">bdPSNRExtend(Z11:Z16,AA11:AA16,Z$3:Z$6,AA$3:AA$6)</f>
        <v>0.95893553621111849</v>
      </c>
      <c r="AB44" s="1" cm="1">
        <f t="array" ref="AB44">bdPSNRExtend(Z11:Z16,AB11:AB16,Z$3:Z$6,AB$3:AB$6)</f>
        <v>0.42387357391010749</v>
      </c>
      <c r="AD44" s="1" cm="1">
        <f t="array" ref="AD44">bdPSNRExtend(AC11:AC16,AD11:AD16,AC$3:AC$6,AD$3:AD$6)</f>
        <v>1.0820342485763959</v>
      </c>
      <c r="AE44" s="1" cm="1">
        <f t="array" ref="AE44">bdPSNRExtend(AC11:AC16,AE11:AE16,AC$3:AC$6,AE$3:AE$6)</f>
        <v>0.43526098490152393</v>
      </c>
      <c r="AG44" s="1" cm="1">
        <f t="array" ref="AG44">bdPSNRExtend(AF11:AF16,AG11:AG16,AF$3:AF$6,AG$3:AG$6)</f>
        <v>1.6109967813733825</v>
      </c>
      <c r="AH44" s="1" cm="1">
        <f t="array" ref="AH44">bdPSNRExtend(AF11:AF16,AH11:AH16,AF$3:AF$6,AH$3:AH$6)</f>
        <v>1.2760047095096771</v>
      </c>
      <c r="AJ44" s="1" cm="1">
        <f t="array" ref="AJ44">bdPSNRExtend(AI11:AI16,AJ11:AJ16,AI$3:AI$6,AJ$3:AJ$6)</f>
        <v>-1.6451039141810531</v>
      </c>
      <c r="AK44" s="1" cm="1">
        <f t="array" ref="AK44">bdPSNRExtend(AI11:AI16,AK11:AK16,AI$3:AI$6,AK$3:AK$6)</f>
        <v>1.8360418690150735</v>
      </c>
    </row>
    <row r="45" spans="1:46" x14ac:dyDescent="0.35">
      <c r="A45" s="108" t="str">
        <f>A17</f>
        <v>V-PCC Intra v23</v>
      </c>
      <c r="B45" t="s">
        <v>17</v>
      </c>
      <c r="C45" s="10" cm="1">
        <f t="array" ref="C45">bdRateExtend(B17:B22,C17:C22,B$3:B$6,C$3:C$6)</f>
        <v>-0.59956500039516625</v>
      </c>
      <c r="D45" s="10" cm="1">
        <f t="array" ref="D45">bdRateExtend(B17:B22,D17:D22,B$3:B$6,D$3:D$6)</f>
        <v>-0.57244397154756455</v>
      </c>
      <c r="F45" s="10" cm="1">
        <f t="array" ref="F45">bdRateExtend(E17:E22,F17:F22,E$3:E$6,F$3:F$6)</f>
        <v>-0.54750373619058035</v>
      </c>
      <c r="G45" s="10" cm="1">
        <f t="array" ref="G45">bdRateExtend(E17:E22,G17:G22,E$3:E$6,G$3:G$6)</f>
        <v>-0.56329322385664171</v>
      </c>
      <c r="I45" s="10" cm="1">
        <f t="array" ref="I45">bdRateExtend(H17:H22,I17:I22,H$3:H$6,I$3:I$6)</f>
        <v>-0.43613912638769681</v>
      </c>
      <c r="J45" s="10" cm="1">
        <f t="array" ref="J45">bdRateExtend(H17:H22,J17:J22,H$3:H$6,J$3:J$6)</f>
        <v>-0.43314086073592306</v>
      </c>
      <c r="L45" s="10" cm="1">
        <f t="array" ref="L45">bdRateExtend(K17:K22,L17:L22,K$3:K$6,L$3:L$6)</f>
        <v>-0.37972856868550153</v>
      </c>
      <c r="M45" s="10" cm="1">
        <f t="array" ref="M45">bdRateExtend(K17:K22,M17:M22,K$3:K$6,M$3:M$6)</f>
        <v>-0.32998778803971895</v>
      </c>
      <c r="O45" s="10" cm="1">
        <f t="array" ref="O45">bdRateExtend(N17:N22,O17:O22,N$3:N$6,O$3:O$6)</f>
        <v>-0.40775945440082717</v>
      </c>
      <c r="P45" s="10" cm="1">
        <f t="array" ref="P45">bdRateExtend(N17:N22,P17:P22,N$3:N$6,P$3:P$6)</f>
        <v>-0.39745862517642749</v>
      </c>
      <c r="R45" s="10" cm="1">
        <f t="array" ref="R45">bdRateExtend(Q17:Q22,R17:R22,Q$3:Q$6,R$3:R$6)</f>
        <v>-0.25130636547206919</v>
      </c>
      <c r="S45" s="10" cm="1">
        <f t="array" ref="S45">bdRateExtend(Q17:Q22,S17:S22,Q$3:Q$6,S$3:S$6)</f>
        <v>-0.58869058580472977</v>
      </c>
      <c r="U45" s="10" cm="1">
        <f t="array" ref="U45">bdRateExtend(T17:T22,U17:U22,T$3:T$6,U$3:U$6)</f>
        <v>2.7354276078457529E-2</v>
      </c>
      <c r="V45" s="10" cm="1">
        <f t="array" ref="V45">bdRateExtend(T17:T22,V17:V22,T$3:T$6,V$3:V$6)</f>
        <v>7.657200073258319E-2</v>
      </c>
      <c r="X45" s="10" cm="1">
        <f t="array" ref="X45">bdRateExtend(W17:W22,X17:X22,W$3:W$6,X$3:X$6)</f>
        <v>5.799681511452083</v>
      </c>
      <c r="Y45" s="10" cm="1">
        <f t="array" ref="Y45">bdRateExtend(W17:W22,Y17:Y22,W$3:W$6,Y$3:Y$6)</f>
        <v>1.3243030508305851</v>
      </c>
      <c r="AA45" s="10" cm="1">
        <f t="array" ref="AA45">bdRateExtend(Z17:Z22,AA17:AA22,Z$3:Z$6,AA$3:AA$6)</f>
        <v>-0.23275968278781922</v>
      </c>
      <c r="AB45" s="10" cm="1">
        <f t="array" ref="AB45">bdRateExtend(Z17:Z22,AB17:AB22,Z$3:Z$6,AB$3:AB$6)</f>
        <v>-0.13463092874824578</v>
      </c>
      <c r="AD45" s="10" cm="1">
        <f t="array" ref="AD45">bdRateExtend(AC17:AC22,AD17:AD22,AC$3:AC$6,AD$3:AD$6)</f>
        <v>-0.68706003661465798</v>
      </c>
      <c r="AE45" s="10" cm="1">
        <f t="array" ref="AE45">bdRateExtend(AC17:AC22,AE17:AE22,AC$3:AC$6,AE$3:AE$6)</f>
        <v>-0.75937785517343315</v>
      </c>
      <c r="AG45" s="10" cm="1">
        <f t="array" ref="AG45">bdRateExtend(AF17:AF22,AG17:AG22,AF$3:AF$6,AG$3:AG$6)</f>
        <v>-0.7164791154904836</v>
      </c>
      <c r="AH45" s="10" cm="1">
        <f t="array" ref="AH45">bdRateExtend(AF17:AF22,AH17:AH22,AF$3:AF$6,AH$3:AH$6)</f>
        <v>-0.86209215910284986</v>
      </c>
      <c r="AJ45" s="10" cm="1">
        <f t="array" ref="AJ45">bdRateExtend(AI17:AI22,AJ17:AJ22,AI$3:AI$6,AJ$3:AJ$6)</f>
        <v>0.37459121413600416</v>
      </c>
      <c r="AK45" s="10" cm="1">
        <f t="array" ref="AK45">bdRateExtend(AI17:AI22,AK17:AK22,AI$3:AI$6,AK$3:AK$6)</f>
        <v>-0.24701100067275106</v>
      </c>
    </row>
    <row r="46" spans="1:46" x14ac:dyDescent="0.35">
      <c r="A46" s="108"/>
      <c r="B46" t="s">
        <v>18</v>
      </c>
      <c r="C46" s="1" cm="1">
        <f t="array" ref="C46">bdPSNRExtend(B17:B22,C17:C22,B$3:B$6,C$3:C$6)</f>
        <v>4.1291567730019398</v>
      </c>
      <c r="D46" s="1" cm="1">
        <f t="array" ref="D46">bdPSNRExtend(B17:B22,D17:D22,B$3:B$6,D$3:D$6)</f>
        <v>4.756644817278711</v>
      </c>
      <c r="F46" s="1" cm="1">
        <f t="array" ref="F46">bdPSNRExtend(E17:E22,F17:F22,E$3:E$6,F$3:F$6)</f>
        <v>3.3500879034343982</v>
      </c>
      <c r="G46" s="1" cm="1">
        <f t="array" ref="G46">bdPSNRExtend(E17:E22,G17:G22,E$3:E$6,G$3:G$6)</f>
        <v>3.7273658049221248</v>
      </c>
      <c r="I46" s="1" cm="1">
        <f t="array" ref="I46">bdPSNRExtend(H17:H22,I17:I22,H$3:H$6,I$3:I$6)</f>
        <v>3.0587294504769083</v>
      </c>
      <c r="J46" s="1" cm="1">
        <f t="array" ref="J46">bdPSNRExtend(H17:H22,J17:J22,H$3:H$6,J$3:J$6)</f>
        <v>3.6224876047459875</v>
      </c>
      <c r="L46" s="1" cm="1">
        <f t="array" ref="L46">bdPSNRExtend(K17:K22,L17:L22,K$3:K$6,L$3:L$6)</f>
        <v>2.3670198387018666</v>
      </c>
      <c r="M46" s="1" cm="1">
        <f t="array" ref="M46">bdPSNRExtend(K17:K22,M17:M22,K$3:K$6,M$3:M$6)</f>
        <v>2.5905206184977527</v>
      </c>
      <c r="O46" s="1" cm="1">
        <f t="array" ref="O46">bdPSNRExtend(N17:N22,O17:O22,N$3:N$6,O$3:O$6)</f>
        <v>0.98828866494087098</v>
      </c>
      <c r="P46" s="1" cm="1">
        <f t="array" ref="P46">bdPSNRExtend(N17:N22,P17:P22,N$3:N$6,P$3:P$6)</f>
        <v>1.9087323020328795</v>
      </c>
      <c r="R46" s="1" cm="1">
        <f t="array" ref="R46">bdPSNRExtend(Q17:Q22,R17:R22,Q$3:Q$6,R$3:R$6)</f>
        <v>0.51896557769732543</v>
      </c>
      <c r="S46" s="1" cm="1">
        <f t="array" ref="S46">bdPSNRExtend(Q17:Q22,S17:S22,Q$3:Q$6,S$3:S$6)</f>
        <v>2.5364795997467326</v>
      </c>
      <c r="U46" s="1" cm="1">
        <f t="array" ref="U46">bdPSNRExtend(T17:T22,U17:U22,T$3:T$6,U$3:U$6)</f>
        <v>-0.1400220674535205</v>
      </c>
      <c r="V46" s="1" cm="1">
        <f t="array" ref="V46">bdPSNRExtend(T17:T22,V17:V22,T$3:T$6,V$3:V$6)</f>
        <v>-0.2774531026550725</v>
      </c>
      <c r="X46" s="1" cm="1">
        <f t="array" ref="X46">bdPSNRExtend(W17:W22,X17:X22,W$3:W$6,X$3:X$6)</f>
        <v>-5.7409058690665526</v>
      </c>
      <c r="Y46" s="1" cm="1">
        <f t="array" ref="Y46">bdPSNRExtend(W17:W22,Y17:Y22,W$3:W$6,Y$3:Y$6)</f>
        <v>-3.401257846305938</v>
      </c>
      <c r="AA46" s="1" cm="1">
        <f t="array" ref="AA46">bdPSNRExtend(Z17:Z22,AA17:AA22,Z$3:Z$6,AA$3:AA$6)</f>
        <v>0.65019862865404265</v>
      </c>
      <c r="AB46" s="1" cm="1">
        <f t="array" ref="AB46">bdPSNRExtend(Z17:Z22,AB17:AB22,Z$3:Z$6,AB$3:AB$6)</f>
        <v>0.42890111147760102</v>
      </c>
      <c r="AD46" s="1" cm="1">
        <f t="array" ref="AD46">bdPSNRExtend(AC17:AC22,AD17:AD22,AC$3:AC$6,AD$3:AD$6)</f>
        <v>3.0900417652136585</v>
      </c>
      <c r="AE46" s="1" cm="1">
        <f t="array" ref="AE46">bdPSNRExtend(AC17:AC22,AE17:AE22,AC$3:AC$6,AE$3:AE$6)</f>
        <v>4.0493177925541088</v>
      </c>
      <c r="AG46" s="1" cm="1">
        <f t="array" ref="AG46">bdPSNRExtend(AF17:AF22,AG17:AG22,AF$3:AF$6,AG$3:AG$6)</f>
        <v>2.855234826138243</v>
      </c>
      <c r="AH46" s="1" cm="1">
        <f t="array" ref="AH46">bdPSNRExtend(AF17:AF22,AH17:AH22,AF$3:AF$6,AH$3:AH$6)</f>
        <v>5.1933530311535545</v>
      </c>
      <c r="AJ46" s="1" cm="1">
        <f t="array" ref="AJ46">bdPSNRExtend(AI17:AI22,AJ17:AJ22,AI$3:AI$6,AJ$3:AJ$6)</f>
        <v>-1.5910676707000455</v>
      </c>
      <c r="AK46" s="1" cm="1">
        <f t="array" ref="AK46">bdPSNRExtend(AI17:AI22,AK17:AK22,AI$3:AI$6,AK$3:AK$6)</f>
        <v>-1.7353228336964834</v>
      </c>
    </row>
    <row r="47" spans="1:46" x14ac:dyDescent="0.35">
      <c r="A47" s="108" t="str">
        <f>A23</f>
        <v>PCGCv2 [25]</v>
      </c>
      <c r="B47" t="s">
        <v>17</v>
      </c>
      <c r="C47" s="10" cm="1">
        <f t="array" ref="C47">bdRateExtend(B23:B29,C23:C29,B$3:B$6,C$3:C$6)</f>
        <v>-0.15500349715390471</v>
      </c>
      <c r="D47" s="10" cm="1">
        <f t="array" ref="D47">bdRateExtend(B23:B29,D23:D29,B$3:B$6,D$3:D$6)</f>
        <v>-0.14118104418528765</v>
      </c>
      <c r="F47" s="10" cm="1">
        <f t="array" ref="F47">bdRateExtend(E23:E29,F23:F29,E$3:E$6,F$3:F$6)</f>
        <v>0.24422223786095465</v>
      </c>
      <c r="G47" s="10" cm="1">
        <f t="array" ref="G47">bdRateExtend(E23:E29,G23:G29,E$3:E$6,G$3:G$6)</f>
        <v>0.16220044857823979</v>
      </c>
      <c r="I47" s="10" cm="1">
        <f t="array" ref="I47">bdRateExtend(H23:H29,I23:I29,H$3:H$6,I$3:I$6)</f>
        <v>-0.15895606176223587</v>
      </c>
      <c r="J47" s="10" cm="1">
        <f t="array" ref="J47">bdRateExtend(H23:H29,J23:J29,H$3:H$6,J$3:J$6)</f>
        <v>-0.15424516928211707</v>
      </c>
      <c r="L47" s="10" cm="1">
        <f t="array" ref="L47">bdRateExtend(K23:K29,L23:L29,K$3:K$6,L$3:L$6)</f>
        <v>-0.60692319867755895</v>
      </c>
      <c r="M47" s="10" cm="1">
        <f t="array" ref="M47">bdRateExtend(K23:K29,M23:M29,K$3:K$6,M$3:M$6)</f>
        <v>-0.18171693225164631</v>
      </c>
      <c r="O47" s="10" cm="1">
        <f t="array" ref="O47">bdRateExtend(N23:N29,O23:O29,N$3:N$6,O$3:O$6)</f>
        <v>-0.790755977977737</v>
      </c>
      <c r="P47" s="10" cm="1">
        <f t="array" ref="P47">bdRateExtend(N23:N29,P23:P29,N$3:N$6,P$3:P$6)</f>
        <v>-0.64565297482887596</v>
      </c>
      <c r="R47" s="10" cm="1">
        <f t="array" ref="R47">bdRateExtend(Q23:Q29,R23:R29,Q$3:Q$6,R$3:R$6)</f>
        <v>-0.52015789231651488</v>
      </c>
      <c r="S47" s="10" cm="1">
        <f t="array" ref="S47">bdRateExtend(Q23:Q29,S23:S29,Q$3:Q$6,S$3:S$6)</f>
        <v>-0.61496534045205808</v>
      </c>
      <c r="U47" s="10" cm="1">
        <f t="array" ref="U47">bdRateExtend(T23:T29,U23:U29,T$3:T$6,U$3:U$6)</f>
        <v>-0.65084979927128539</v>
      </c>
      <c r="V47" s="10" cm="1">
        <f t="array" ref="V47">bdRateExtend(T23:T29,V23:V29,T$3:T$6,V$3:V$6)</f>
        <v>0.20428171479974155</v>
      </c>
      <c r="X47" s="10" cm="1">
        <f t="array" ref="X47">bdRateExtend(W23:W29,X23:X29,W$3:W$6,X$3:X$6)</f>
        <v>-0.45638983336442351</v>
      </c>
      <c r="Y47" s="10" cm="1">
        <f t="array" ref="Y47">bdRateExtend(W23:W29,Y23:Y29,W$3:W$6,Y$3:Y$6)</f>
        <v>-0.44876253212669737</v>
      </c>
      <c r="AA47" s="10" cm="1">
        <f t="array" ref="AA47">bdRateExtend(Z23:Z29,AA23:AA29,Z$3:Z$6,AA$3:AA$6)</f>
        <v>-3.5454698369926207E-2</v>
      </c>
      <c r="AB47" s="10" cm="1">
        <f t="array" ref="AB47">bdRateExtend(Z23:Z29,AB23:AB29,Z$3:Z$6,AB$3:AB$6)</f>
        <v>-0.15130446410558174</v>
      </c>
      <c r="AD47" s="10" cm="1">
        <f t="array" ref="AD47">bdRateExtend(AC23:AC29,AD23:AD29,AC$3:AC$6,AD$3:AD$6)</f>
        <v>-0.57339290565421863</v>
      </c>
      <c r="AE47" s="10" cm="1">
        <f t="array" ref="AE47">bdRateExtend(AC23:AC29,AE23:AE29,AC$3:AC$6,AE$3:AE$6)</f>
        <v>-0.50206755618887344</v>
      </c>
      <c r="AG47" s="10" cm="1">
        <f t="array" ref="AG47">bdRateExtend(AF23:AF29,AG23:AG29,AF$3:AF$6,AG$3:AG$6)</f>
        <v>-0.21983618168500818</v>
      </c>
      <c r="AH47" s="10" cm="1">
        <f t="array" ref="AH47">bdRateExtend(AF23:AF29,AH23:AH29,AF$3:AF$6,AH$3:AH$6)</f>
        <v>-0.12948276871052877</v>
      </c>
      <c r="AJ47" s="10" cm="1">
        <f t="array" ref="AJ47">bdRateExtend(AI23:AI29,AJ23:AJ29,AI$3:AI$6,AJ$3:AJ$6)</f>
        <v>-0.93598694596325849</v>
      </c>
      <c r="AK47" s="10" cm="1">
        <f t="array" ref="AK47">bdRateExtend(AI23:AI29,AK23:AK29,AI$3:AI$6,AK$3:AK$6)</f>
        <v>-0.86577628395381079</v>
      </c>
    </row>
    <row r="48" spans="1:46" x14ac:dyDescent="0.35">
      <c r="A48" s="108"/>
      <c r="B48" t="s">
        <v>18</v>
      </c>
      <c r="C48" s="1" cm="1">
        <f t="array" ref="C48">bdPSNRExtend(B23:B29,C23:C29,B$3:B$6,C$3:C$6)</f>
        <v>0.67674843592213962</v>
      </c>
      <c r="D48" s="1" cm="1">
        <f t="array" ref="D48">bdPSNRExtend(B23:B29,D23:D29,B$3:B$6,D$3:D$6)</f>
        <v>0.70504051614109697</v>
      </c>
      <c r="F48" s="1" cm="1">
        <f t="array" ref="F48">bdPSNRExtend(E23:E29,F23:F29,E$3:E$6,F$3:F$6)</f>
        <v>-1.1868387113929333</v>
      </c>
      <c r="G48" s="1" cm="1">
        <f t="array" ref="G48">bdPSNRExtend(E23:E29,G23:G29,E$3:E$6,G$3:G$6)</f>
        <v>-1.0498574360446273</v>
      </c>
      <c r="I48" s="1" cm="1">
        <f t="array" ref="I48">bdPSNRExtend(H23:H29,I23:I29,H$3:H$6,I$3:I$6)</f>
        <v>0.81098864553354499</v>
      </c>
      <c r="J48" s="1" cm="1">
        <f t="array" ref="J48">bdPSNRExtend(H23:H29,J23:J29,H$3:H$6,J$3:J$6)</f>
        <v>0.89461606366575741</v>
      </c>
      <c r="L48" s="1" cm="1">
        <f t="array" ref="L48">bdPSNRExtend(K23:K29,L23:L29,K$3:K$6,L$3:L$6)</f>
        <v>3.6442932084439668</v>
      </c>
      <c r="M48" s="1" cm="1">
        <f t="array" ref="M48">bdPSNRExtend(K23:K29,M23:M29,K$3:K$6,M$3:M$6)</f>
        <v>1.0254971768569612</v>
      </c>
      <c r="O48" s="1" cm="1">
        <f t="array" ref="O48">bdPSNRExtend(N23:N29,O23:O29,N$3:N$6,O$3:O$6)</f>
        <v>3.1711624835550585</v>
      </c>
      <c r="P48" s="1" cm="1">
        <f t="array" ref="P48">bdPSNRExtend(N23:N29,P23:P29,N$3:N$6,P$3:P$6)</f>
        <v>4.3177608951807178</v>
      </c>
      <c r="R48" s="1" cm="1">
        <f t="array" ref="R48">bdPSNRExtend(Q23:Q29,R23:R29,Q$3:Q$6,R$3:R$6)</f>
        <v>1.3963283532096835</v>
      </c>
      <c r="S48" s="1" cm="1">
        <f t="array" ref="S48">bdPSNRExtend(Q23:Q29,S23:S29,Q$3:Q$6,S$3:S$6)</f>
        <v>1.8808747993632782</v>
      </c>
      <c r="U48" s="1" cm="1">
        <f t="array" ref="U48">bdPSNRExtend(T23:T29,U23:U29,T$3:T$6,U$3:U$6)</f>
        <v>3.1632212764059551</v>
      </c>
      <c r="V48" s="1" cm="1">
        <f t="array" ref="V48">bdPSNRExtend(T23:T29,V23:V29,T$3:T$6,V$3:V$6)</f>
        <v>-0.34982291224422135</v>
      </c>
      <c r="X48" s="1" cm="1">
        <f t="array" ref="X48">bdPSNRExtend(W23:W29,X23:X29,W$3:W$6,X$3:X$6)</f>
        <v>1.4992346264722836</v>
      </c>
      <c r="Y48" s="1" cm="1">
        <f t="array" ref="Y48">bdPSNRExtend(W23:W29,Y23:Y29,W$3:W$6,Y$3:Y$6)</f>
        <v>1.7918958396010125</v>
      </c>
      <c r="AA48" s="1" cm="1">
        <f t="array" ref="AA48">bdPSNRExtend(Z23:Z29,AA23:AA29,Z$3:Z$6,AA$3:AA$6)</f>
        <v>0.53775991778430643</v>
      </c>
      <c r="AB48" s="1" cm="1">
        <f t="array" ref="AB48">bdPSNRExtend(Z23:Z29,AB23:AB29,Z$3:Z$6,AB$3:AB$6)</f>
        <v>1.0789543352944713</v>
      </c>
      <c r="AD48" s="1" cm="1">
        <f t="array" ref="AD48">bdPSNRExtend(AC23:AC29,AD23:AD29,AC$3:AC$6,AD$3:AD$6)</f>
        <v>2.7444607002734482</v>
      </c>
      <c r="AE48" s="1" cm="1">
        <f t="array" ref="AE48">bdPSNRExtend(AC23:AC29,AE23:AE29,AC$3:AC$6,AE$3:AE$6)</f>
        <v>2.5380244180123337</v>
      </c>
      <c r="AG48" s="1" cm="1">
        <f t="array" ref="AG48">bdPSNRExtend(AF23:AF29,AG23:AG29,AF$3:AF$6,AG$3:AG$6)</f>
        <v>0.71508980962671254</v>
      </c>
      <c r="AH48" s="1" cm="1">
        <f t="array" ref="AH48">bdPSNRExtend(AF23:AF29,AH23:AH29,AF$3:AF$6,AH$3:AH$6)</f>
        <v>0.84028692197181332</v>
      </c>
      <c r="AJ48" s="1" cm="1">
        <f t="array" ref="AJ48">bdPSNRExtend(AI23:AI29,AJ23:AJ29,AI$3:AI$6,AJ$3:AJ$6)</f>
        <v>18.191737743157073</v>
      </c>
      <c r="AK48" s="1" cm="1">
        <f t="array" ref="AK48">bdPSNRExtend(AI23:AI29,AK23:AK29,AI$3:AI$6,AK$3:AK$6)</f>
        <v>15.887548775201061</v>
      </c>
    </row>
    <row r="49" spans="1:48" x14ac:dyDescent="0.35">
      <c r="A49" s="108" t="str">
        <f>A30</f>
        <v>PCGFormer [26]</v>
      </c>
      <c r="B49" t="s">
        <v>17</v>
      </c>
      <c r="C49" s="10" cm="1">
        <f t="array" ref="C49">bdRateExtend(B30:B33,C30:C33,B$3:B$6,C$3:C$6)</f>
        <v>8.4364528521390758E-2</v>
      </c>
      <c r="D49" s="10" cm="1">
        <f t="array" ref="D49">bdRateExtend(B30:B33,D30:D33,B$3:B$6,D$3:D$6)</f>
        <v>1.1999642551527412E-2</v>
      </c>
      <c r="F49" s="10" cm="1">
        <f t="array" ref="F49">bdRateExtend(E30:E33,F30:F33,E$3:E$6,F$3:F$6)</f>
        <v>0.38128705134265584</v>
      </c>
      <c r="G49" s="10" cm="1">
        <f t="array" ref="G49">bdRateExtend(E30:E33,G30:G33,E$3:E$6,G$3:G$6)</f>
        <v>0.28382814479867524</v>
      </c>
      <c r="I49" s="10" cm="1">
        <f t="array" ref="I49">bdRateExtend(H30:H33,I30:I33,H$3:H$6,I$3:I$6)</f>
        <v>1.3164053112353802E-2</v>
      </c>
      <c r="J49" s="10" cm="1">
        <f t="array" ref="J49">bdRateExtend(H30:H33,J30:J33,H$3:H$6,J$3:J$6)</f>
        <v>7.6783086134921685E-3</v>
      </c>
      <c r="L49" s="10" cm="1">
        <f t="array" ref="L49">bdRateExtend(K30:K33,L30:L33,K$3:K$6,L$3:L$6)</f>
        <v>-0.68059337999356873</v>
      </c>
      <c r="M49" s="10" cm="1">
        <f t="array" ref="M49">bdRateExtend(K30:K33,M30:M33,K$3:K$6,M$3:M$6)</f>
        <v>9.4206295623030734E-2</v>
      </c>
      <c r="O49" s="10" cm="1">
        <f t="array" ref="O49">bdRateExtend(N30:N33,O30:O33,N$3:N$6,O$3:O$6)</f>
        <v>-0.91058350471875504</v>
      </c>
      <c r="P49" s="10" cm="1">
        <f t="array" ref="P49">bdRateExtend(N30:N33,P30:P33,N$3:N$6,P$3:P$6)</f>
        <v>-0.31454214109260681</v>
      </c>
      <c r="R49" s="10" cm="1">
        <f t="array" ref="R49">bdRateExtend(Q30:Q33,R30:R33,Q$3:Q$6,R$3:R$6)</f>
        <v>-0.72700073631182827</v>
      </c>
      <c r="S49" s="10" cm="1">
        <f t="array" ref="S49">bdRateExtend(Q30:Q33,S30:S33,Q$3:Q$6,S$3:S$6)</f>
        <v>-0.55250371173363533</v>
      </c>
      <c r="U49" s="10" cm="1">
        <f t="array" ref="U49">bdRateExtend(T30:T33,U30:U33,T$3:T$6,U$3:U$6)</f>
        <v>-0.61338993923651364</v>
      </c>
      <c r="V49" s="10" cm="1">
        <f t="array" ref="V49">bdRateExtend(T30:T33,V30:V33,T$3:T$6,V$3:V$6)</f>
        <v>0.34567000940428216</v>
      </c>
      <c r="X49" s="10" cm="1">
        <f t="array" ref="X49">bdRateExtend(W30:W33,X30:X33,W$3:W$6,X$3:X$6)</f>
        <v>-0.63113774502843201</v>
      </c>
      <c r="Y49" s="10" cm="1">
        <f t="array" ref="Y49">bdRateExtend(W30:W33,Y30:Y33,W$3:W$6,Y$3:Y$6)</f>
        <v>-0.3675521276775584</v>
      </c>
      <c r="AA49" s="10" cm="1">
        <f t="array" ref="AA49">bdRateExtend(Z31:Z33,AA31:AA33,Z$3:Z$6,AA$3:AA$6)</f>
        <v>-0.61130979774200234</v>
      </c>
      <c r="AB49" s="10" cm="1">
        <f t="array" ref="AB49">bdRateExtend(Z30:Z33,AB30:AB33,Z$3:Z$6,AB$3:AB$6)</f>
        <v>-0.3730538841680473</v>
      </c>
      <c r="AD49" s="10" cm="1">
        <f t="array" ref="AD49">bdRateExtend(AC30:AC33,AD30:AD33,AC$3:AC$6,AD$3:AD$6)</f>
        <v>-0.59635749209023547</v>
      </c>
      <c r="AE49" s="10" cm="1">
        <f t="array" ref="AE49">bdRateExtend(AC30:AC33,AE30:AE33,AC$3:AC$6,AE$3:AE$6)</f>
        <v>-0.52571699908867664</v>
      </c>
      <c r="AG49" s="10" cm="1">
        <f t="array" ref="AG49">bdRateExtend(AF30:AF33,AG30:AG33,AF$3:AF$6,AG$3:AG$6)</f>
        <v>-0.19336593161783122</v>
      </c>
      <c r="AH49" s="10" cm="1">
        <f t="array" ref="AH49">bdRateExtend(AF30:AF33,AH30:AH33,AF$3:AF$6,AH$3:AH$6)</f>
        <v>0.25182834185305203</v>
      </c>
      <c r="AJ49" s="10" cm="1">
        <f t="array" ref="AJ49">bdRateExtend(AI30:AI33,AJ30:AJ33,AI$3:AI$6,AJ$3:AJ$6)</f>
        <v>-0.96360190618054631</v>
      </c>
      <c r="AK49" s="10" cm="1">
        <f t="array" ref="AK49">bdRateExtend(AI30:AI33,AK30:AK33,AI$3:AI$6,AK$3:AK$6)</f>
        <v>-0.84869170435658514</v>
      </c>
    </row>
    <row r="50" spans="1:48" x14ac:dyDescent="0.35">
      <c r="A50" s="108"/>
      <c r="B50" t="s">
        <v>18</v>
      </c>
      <c r="C50" s="1" cm="1">
        <f t="array" ref="C50">bdPSNRExtend(B30:B33,C30:C33,B$3:B$6,C$3:C$6)</f>
        <v>-9.9739985406062923E-2</v>
      </c>
      <c r="D50" s="1" cm="1">
        <f t="array" ref="D50">bdPSNRExtend(B30:B33,D30:D33,B$3:B$6,D$3:D$6)</f>
        <v>0.20540789299040305</v>
      </c>
      <c r="F50" s="1" cm="1">
        <f t="array" ref="F50">bdPSNRExtend(E30:E33,F30:F33,E$3:E$6,F$3:F$6)</f>
        <v>-1.1903218714796406</v>
      </c>
      <c r="G50" s="1" cm="1">
        <f t="array" ref="G50">bdPSNRExtend(E30:E33,G30:G33,E$3:E$6,G$3:G$6)</f>
        <v>-1.1343508258648054</v>
      </c>
      <c r="I50" s="1" cm="1">
        <f t="array" ref="I50">bdPSNRExtend(H30:H33,I30:I33,H$3:H$6,I$3:I$6)</f>
        <v>2.0377264191491655E-2</v>
      </c>
      <c r="J50" s="1" cm="1">
        <f t="array" ref="J50">bdPSNRExtend(H30:H33,J30:J33,H$3:H$6,J$3:J$6)</f>
        <v>0.11010092046543603</v>
      </c>
      <c r="L50" s="1" cm="1">
        <f t="array" ref="L50">bdPSNRExtend(K30:K33,L30:L33,K$3:K$6,L$3:L$6)</f>
        <v>3.480918289036623</v>
      </c>
      <c r="M50" s="1" cm="1">
        <f t="array" ref="M50">bdPSNRExtend(K30:K33,M30:M33,K$3:K$6,M$3:M$6)</f>
        <v>-0.13555957590447273</v>
      </c>
      <c r="O50" s="1" cm="1">
        <f t="array" ref="O50">bdPSNRExtend(N30:N33,O30:O33,N$3:N$6,O$3:O$6)</f>
        <v>3.2216986872355742</v>
      </c>
      <c r="P50" s="1" cm="1">
        <f t="array" ref="P50">bdPSNRExtend(N30:N33,P30:P33,N$3:N$6,P$3:P$6)</f>
        <v>3.1393790621548963</v>
      </c>
      <c r="R50" s="1" cm="1">
        <f t="array" ref="R50">bdPSNRExtend(Q30:Q33,R30:R33,Q$3:Q$6,R$3:R$6)</f>
        <v>2.133422834208536</v>
      </c>
      <c r="S50" s="1" cm="1">
        <f t="array" ref="S50">bdPSNRExtend(Q30:Q33,S30:S33,Q$3:Q$6,S$3:S$6)</f>
        <v>1.6941226606670574</v>
      </c>
      <c r="U50" s="1" cm="1">
        <f t="array" ref="U50">bdPSNRExtend(T30:T33,U30:U33,T$3:T$6,U$3:U$6)</f>
        <v>3.7040191320397255</v>
      </c>
      <c r="V50" s="1" cm="1">
        <f t="array" ref="V50">bdPSNRExtend(T30:T33,V30:V33,T$3:T$6,V$3:V$6)</f>
        <v>-0.26846359383032392</v>
      </c>
      <c r="X50" s="1" cm="1">
        <f t="array" ref="X50">bdPSNRExtend(W30:W33,X30:X33,W$3:W$6,X$3:X$6)</f>
        <v>2.0208856432700211</v>
      </c>
      <c r="Y50" s="1" cm="1">
        <f t="array" ref="Y50">bdPSNRExtend(W30:W33,Y30:Y33,W$3:W$6,Y$3:Y$6)</f>
        <v>1.6420254147714168</v>
      </c>
      <c r="AA50" s="1" cm="1">
        <f t="array" ref="AA50">bdPSNRExtend(Z31:Z33,AA31:AA33,Z$3:Z$6,AA$3:AA$6)</f>
        <v>2.5627334352478965</v>
      </c>
      <c r="AB50" s="1" cm="1">
        <f t="array" ref="AB50">bdPSNRExtend(Z30:Z33,AB30:AB33,Z$3:Z$6,AB$3:AB$6)</f>
        <v>1.2560022963136197</v>
      </c>
      <c r="AD50" s="1" cm="1">
        <f t="array" ref="AD50">bdPSNRExtend(AC30:AC33,AD30:AD33,AC$3:AC$6,AD$3:AD$6)</f>
        <v>2.9178574568638025</v>
      </c>
      <c r="AE50" s="1" cm="1">
        <f t="array" ref="AE50">bdPSNRExtend(AC30:AC33,AE30:AE33,AC$3:AC$6,AE$3:AE$6)</f>
        <v>2.628132751011548</v>
      </c>
      <c r="AG50" s="1" cm="1">
        <f t="array" ref="AG50">bdPSNRExtend(AF30:AF33,AG30:AG33,AF$3:AF$6,AG$3:AG$6)</f>
        <v>0.61294099934041024</v>
      </c>
      <c r="AH50" s="1" cm="1">
        <f t="array" ref="AH50">bdPSNRExtend(AF30:AF33,AH30:AH33,AF$3:AF$6,AH$3:AH$6)</f>
        <v>-0.37179952713872633</v>
      </c>
      <c r="AJ50" s="1" cm="1">
        <f t="array" ref="AJ50">bdPSNRExtend(AI30:AI33,AJ30:AJ33,AI$3:AI$6,AJ$3:AJ$6)</f>
        <v>5.8309128233606273</v>
      </c>
      <c r="AK50" s="1" cm="1">
        <f t="array" ref="AK50">bdPSNRExtend(AI30:AI33,AK30:AK33,AI$3:AI$6,AK$3:AK$6)</f>
        <v>4.8421996955194881</v>
      </c>
    </row>
    <row r="51" spans="1:48" x14ac:dyDescent="0.35">
      <c r="A51" s="108" t="str">
        <f>A34</f>
        <v>GRASP-Net [27]</v>
      </c>
      <c r="B51" t="s">
        <v>17</v>
      </c>
      <c r="C51" s="10" cm="1">
        <f t="array" ref="C51">bdRateExtend(B34:B38,C34:C38,B$3:B$6,C$3:C$6)</f>
        <v>-0.23644815514127659</v>
      </c>
      <c r="D51" s="10" cm="1">
        <f t="array" ref="D51">bdRateExtend(B34:B38,D34:D38,B$3:B$6,D$3:D$6)</f>
        <v>-0.28085712925932271</v>
      </c>
      <c r="F51" s="10" cm="1">
        <f t="array" ref="F51">bdRateExtend(E34:E38,F34:F38,E$3:E$6,F$3:F$6)</f>
        <v>-1.6272832393127712E-2</v>
      </c>
      <c r="G51" s="10" cm="1">
        <f t="array" ref="G51">bdRateExtend(E34:E38,G34:G38,E$3:E$6,G$3:G$6)</f>
        <v>-0.12582271987168714</v>
      </c>
      <c r="I51" s="10" cm="1">
        <f t="array" ref="I51">bdRateExtend(H34:H38,I34:I38,H$3:H$6,I$3:I$6)</f>
        <v>-0.45398491228948135</v>
      </c>
      <c r="J51" s="10" cm="1">
        <f t="array" ref="J51">bdRateExtend(H34:H38,J34:J38,H$3:H$6,J$3:J$6)</f>
        <v>-0.46436534457039869</v>
      </c>
      <c r="L51" s="10" cm="1">
        <f t="array" ref="L51">bdRateExtend(K34:K38,L34:L38,K$3:K$6,L$3:L$6)</f>
        <v>-0.50519265397529045</v>
      </c>
      <c r="M51" s="10" cm="1">
        <f t="array" ref="M51">bdRateExtend(K34:K38,M34:M38,K$3:K$6,M$3:M$6)</f>
        <v>-0.50326646155678945</v>
      </c>
      <c r="O51" s="10" cm="1">
        <f t="array" ref="O51">bdRateExtend(N34:N38,O34:O38,N$3:N$6,O$3:O$6)</f>
        <v>-0.42202179260121286</v>
      </c>
      <c r="P51" s="10" cm="1">
        <f t="array" ref="P51">bdRateExtend(N34:N38,P34:P38,N$3:N$6,P$3:P$6)</f>
        <v>-0.470125411843757</v>
      </c>
      <c r="R51" s="10" cm="1">
        <f t="array" ref="R51">bdRateExtend(Q34:Q38,R34:R38,Q$3:Q$6,R$3:R$6)</f>
        <v>-7.5385692672633398E-2</v>
      </c>
      <c r="S51" s="10" cm="1">
        <f t="array" ref="S51">bdRateExtend(Q34:Q38,S34:S38,Q$3:Q$6,S$3:S$6)</f>
        <v>-0.32773061709393458</v>
      </c>
      <c r="U51" s="10" cm="1">
        <f t="array" ref="U51">bdRateExtend(T34:T38,U34:U38,T$3:T$6,U$3:U$6)</f>
        <v>0.27143881244205725</v>
      </c>
      <c r="V51" s="10" cm="1">
        <f t="array" ref="V51">bdRateExtend(T34:T38,V34:V38,T$3:T$6,V$3:V$6)</f>
        <v>0.29001224878721499</v>
      </c>
      <c r="X51" s="10" cm="1">
        <f t="array" ref="X51">bdRateExtend(W34:W38,X34:X38,W$3:W$6,X$3:X$6)</f>
        <v>8.5175595377942281E-2</v>
      </c>
      <c r="Y51" s="10" cm="1">
        <f t="array" ref="Y51">bdRateExtend(W34:W38,Y34:Y38,W$3:W$6,Y$3:Y$6)</f>
        <v>-0.32087953147356107</v>
      </c>
      <c r="AA51" s="10" cm="1">
        <f t="array" ref="AA51">bdRateExtend(Z34:Z38,AA34:AA38,Z$3:Z$6,AA$3:AA$6)</f>
        <v>0.13429011139037383</v>
      </c>
      <c r="AB51" s="10" cm="1">
        <f t="array" ref="AB51">bdRateExtend(Z34:Z38,AB34:AB38,Z$3:Z$6,AB$3:AB$6)</f>
        <v>-9.559995870892124E-2</v>
      </c>
      <c r="AD51" s="10" cm="1">
        <f t="array" ref="AD51">bdRateExtend(AC34:AC38,AD34:AD38,AC$3:AC$6,AD$3:AD$6)</f>
        <v>-4.0317520352873615E-2</v>
      </c>
      <c r="AE51" s="10" cm="1">
        <f t="array" ref="AE51">bdRateExtend(AC34:AC38,AE34:AE38,AC$3:AC$6,AE$3:AE$6)</f>
        <v>-3.2768118911532862E-2</v>
      </c>
      <c r="AG51" s="10" cm="1">
        <f t="array" ref="AG51">bdRateExtend(AF34:AF38,AG34:AG38,AF$3:AF$6,AG$3:AG$6)</f>
        <v>-4.8553464786439404E-3</v>
      </c>
      <c r="AH51" s="10" cm="1">
        <f t="array" ref="AH51">bdRateExtend(AF34:AF38,AH34:AH38,AF$3:AF$6,AH$3:AH$6)</f>
        <v>-9.3953590202095039E-2</v>
      </c>
      <c r="AJ51" s="10" cm="1">
        <f t="array" ref="AJ51">bdRateExtend(AI34:AI38,AJ34:AJ38,AI$3:AI$6,AJ$3:AJ$6)</f>
        <v>1.0994486052767356</v>
      </c>
      <c r="AK51" s="10" cm="1">
        <f t="array" ref="AK51">bdRateExtend(AI34:AI38,AK34:AK38,AI$3:AI$6,AK$3:AK$6)</f>
        <v>9.8360473041829932E-2</v>
      </c>
    </row>
    <row r="52" spans="1:48" x14ac:dyDescent="0.35">
      <c r="A52" s="108"/>
      <c r="B52" t="s">
        <v>18</v>
      </c>
      <c r="C52" s="1" cm="1">
        <f t="array" ref="C52">bdPSNRExtend(B34:B38,C34:C38,B$3:B$6,C$3:C$6)</f>
        <v>1.1934063182909853</v>
      </c>
      <c r="D52" s="1" cm="1">
        <f t="array" ref="D52">bdPSNRExtend(B34:B38,D34:D38,B$3:B$6,D$3:D$6)</f>
        <v>1.7133100643211407</v>
      </c>
      <c r="F52" s="1" cm="1">
        <f t="array" ref="F52">bdPSNRExtend(E34:E38,F34:F38,E$3:E$6,F$3:F$6)</f>
        <v>0.12847387694071966</v>
      </c>
      <c r="G52" s="1" cm="1">
        <f t="array" ref="G52">bdPSNRExtend(E34:E38,G34:G38,E$3:E$6,G$3:G$6)</f>
        <v>0.50692580660065811</v>
      </c>
      <c r="I52" s="1" cm="1">
        <f t="array" ref="I52">bdPSNRExtend(H34:H38,I34:I38,H$3:H$6,I$3:I$6)</f>
        <v>2.5268874989124757</v>
      </c>
      <c r="J52" s="1" cm="1">
        <f t="array" ref="J52">bdPSNRExtend(H34:H38,J34:J38,H$3:H$6,J$3:J$6)</f>
        <v>3.1450569155248398</v>
      </c>
      <c r="L52" s="1" cm="1">
        <f t="array" ref="L52">bdPSNRExtend(K34:K38,L34:L38,K$3:K$6,L$3:L$6)</f>
        <v>2.9227732450879245</v>
      </c>
      <c r="M52" s="1" cm="1">
        <f t="array" ref="M52">bdPSNRExtend(K34:K38,M34:M38,K$3:K$6,M$3:M$6)</f>
        <v>3.7102539112013071</v>
      </c>
      <c r="O52" s="1" cm="1">
        <f t="array" ref="O52">bdPSNRExtend(N34:N38,O34:O38,N$3:N$6,O$3:O$6)</f>
        <v>0.52916250911053297</v>
      </c>
      <c r="P52" s="1" cm="1">
        <f t="array" ref="P52">bdPSNRExtend(N34:N38,P34:P38,N$3:N$6,P$3:P$6)</f>
        <v>1.4768940454720345</v>
      </c>
      <c r="R52" s="1" cm="1">
        <f t="array" ref="R52">bdPSNRExtend(Q34:Q38,R34:R38,Q$3:Q$6,R$3:R$6)</f>
        <v>0.11146152939300284</v>
      </c>
      <c r="S52" s="1" cm="1">
        <f t="array" ref="S52">bdPSNRExtend(Q34:Q38,S34:S38,Q$3:Q$6,S$3:S$6)</f>
        <v>1.0265525289910229</v>
      </c>
      <c r="U52" s="1" cm="1">
        <f t="array" ref="U52">bdPSNRExtend(T34:T38,U34:U38,T$3:T$6,U$3:U$6)</f>
        <v>-0.92356296172163432</v>
      </c>
      <c r="V52" s="1" cm="1">
        <f t="array" ref="V52">bdPSNRExtend(T34:T38,V34:V38,T$3:T$6,V$3:V$6)</f>
        <v>-1.1407382040478735</v>
      </c>
      <c r="X52" s="1" cm="1">
        <f t="array" ref="X52">bdPSNRExtend(W34:W38,X34:X38,W$3:W$6,X$3:X$6)</f>
        <v>-0.26880202003654213</v>
      </c>
      <c r="Y52" s="1" cm="1">
        <f t="array" ref="Y52">bdPSNRExtend(W34:W38,Y34:Y38,W$3:W$6,Y$3:Y$6)</f>
        <v>1.1164928002396977</v>
      </c>
      <c r="AA52" s="1" cm="1">
        <f t="array" ref="AA52">bdPSNRExtend(Z34:Z38,AA34:AA38,Z$3:Z$6,AA$3:AA$6)</f>
        <v>-0.51007062394802971</v>
      </c>
      <c r="AB52" s="1" cm="1">
        <f t="array" ref="AB52">bdPSNRExtend(Z34:Z38,AB34:AB38,Z$3:Z$6,AB$3:AB$6)</f>
        <v>7.2340787735258913E-2</v>
      </c>
      <c r="AD52" s="1" cm="1">
        <f t="array" ref="AD52">bdPSNRExtend(AC34:AC38,AD34:AD38,AC$3:AC$6,AD$3:AD$6)</f>
        <v>-0.5506626175757231</v>
      </c>
      <c r="AE52" s="1" cm="1">
        <f t="array" ref="AE52">bdPSNRExtend(AC34:AC38,AE34:AE38,AC$3:AC$6,AE$3:AE$6)</f>
        <v>-0.54240322726607082</v>
      </c>
      <c r="AG52" s="1" cm="1">
        <f t="array" ref="AG52">bdPSNRExtend(AF34:AF38,AG34:AG38,AF$3:AF$6,AG$3:AG$6)</f>
        <v>-0.10534121596268825</v>
      </c>
      <c r="AH52" s="1" cm="1">
        <f t="array" ref="AH52">bdPSNRExtend(AF34:AF38,AH34:AH38,AF$3:AF$6,AH$3:AH$6)</f>
        <v>0.24899905246947834</v>
      </c>
      <c r="AJ52" s="1" cm="1">
        <f t="array" ref="AJ52">bdPSNRExtend(AI34:AI38,AJ34:AJ38,AI$3:AI$6,AJ$3:AJ$6)</f>
        <v>-1.9265177123974484</v>
      </c>
      <c r="AK52" s="1" cm="1">
        <f t="array" ref="AK52">bdPSNRExtend(AI34:AI38,AK34:AK38,AI$3:AI$6,AK$3:AK$6)</f>
        <v>0.26519617263311479</v>
      </c>
    </row>
    <row r="53" spans="1:48" x14ac:dyDescent="0.35">
      <c r="A53" s="108" t="str">
        <f>A7</f>
        <v>JPEG PCC VM v4.1 noSR</v>
      </c>
      <c r="B53" t="s">
        <v>17</v>
      </c>
      <c r="C53" s="10" cm="1">
        <f t="array" ref="C53">bdRateExtend(B7:B10,C7:C10,B$3:B$6,C$3:C$6)</f>
        <v>-0.49962487314988724</v>
      </c>
      <c r="D53" s="10" cm="1">
        <f t="array" ref="D53">bdRateExtend(B7:B10,D7:D10,B$3:B$6,D$3:D$6)</f>
        <v>-0.38055126195011368</v>
      </c>
      <c r="F53" s="10" cm="1">
        <f t="array" ref="F53">bdRateExtend(E7:E10,F7:F10,E$3:E$6,F$3:F$6)</f>
        <v>-0.17427068597779405</v>
      </c>
      <c r="G53" s="10" cm="1">
        <f t="array" ref="G53">bdRateExtend(E7:E10,G7:G10,E$3:E$6,G$3:G$6)</f>
        <v>-0.18403089202249401</v>
      </c>
      <c r="I53" s="10" cm="1">
        <f t="array" ref="I53">bdRateExtend(H7:H10,I7:I10,H$3:H$6,I$3:I$6)</f>
        <v>-0.4844303344324401</v>
      </c>
      <c r="J53" s="10" cm="1">
        <f t="array" ref="J53">bdRateExtend(H7:H10,J7:J10,H$3:H$6,J$3:J$6)</f>
        <v>-0.41239555079364498</v>
      </c>
      <c r="L53" s="10" cm="1">
        <f t="array" ref="L53">bdRateExtend(K7:K10,L7:L10,K$3:K$6,L$3:L$6)</f>
        <v>-0.45395553204301331</v>
      </c>
      <c r="M53" s="10" cm="1">
        <f t="array" ref="M53">bdRateExtend(K7:K10,M7:M10,K$3:K$6,M$3:M$6)</f>
        <v>-0.36015935455218206</v>
      </c>
      <c r="O53" s="10" cm="1">
        <f t="array" ref="O53">bdRateExtend(N7:N10,O7:O10,N$3:N$6,O$3:O$6)</f>
        <v>-0.71036874389055427</v>
      </c>
      <c r="P53" s="10" cm="1">
        <f t="array" ref="P53">bdRateExtend(N7:N10,P7:P10,N$3:N$6,P$3:P$6)</f>
        <v>-0.72777874223511874</v>
      </c>
      <c r="R53" s="10" cm="1">
        <f t="array" ref="R53">bdRateExtend(Q7:Q10,R7:R10,Q$3:Q$6,R$3:R$6)</f>
        <v>-0.21707912716730926</v>
      </c>
      <c r="S53" s="10" cm="1">
        <f t="array" ref="S53">bdRateExtend(Q7:Q10,S7:S10,Q$3:Q$6,S$3:S$6)</f>
        <v>-0.30753790537940184</v>
      </c>
      <c r="U53" s="10" cm="1">
        <f t="array" ref="U53">bdRateExtend(T7:T10,U7:U10,T$3:T$6,U$3:U$6)</f>
        <v>-8.0810197316204535E-3</v>
      </c>
      <c r="V53" s="10" cm="1">
        <f t="array" ref="V53">bdRateExtend(T7:T10,V7:V10,T$3:T$6,V$3:V$6)</f>
        <v>2.9793754341580492E-3</v>
      </c>
      <c r="X53" s="10" cm="1">
        <f t="array" ref="X53">bdRateExtend(W7:W10,X7:X10,W$3:W$6,X$3:X$6)</f>
        <v>0.15276453161089099</v>
      </c>
      <c r="Y53" s="10" cm="1">
        <f t="array" ref="Y53">bdRateExtend(W7:W10,Y7:Y10,W$3:W$6,Y$3:Y$6)</f>
        <v>-0.20371493241197758</v>
      </c>
      <c r="AA53" s="10" cm="1">
        <f t="array" ref="AA53">bdRateExtend(Z7:Z10,AA7:AA10,Z$3:Z$6,AA$3:AA$6)</f>
        <v>0</v>
      </c>
      <c r="AB53" s="10" cm="1">
        <f t="array" ref="AB53">bdRateExtend(Z7:Z10,AB7:AB10,Z$3:Z$6,AB$3:AB$6)</f>
        <v>0</v>
      </c>
      <c r="AD53" s="10" cm="1">
        <f t="array" ref="AD53">bdRateExtend(AC7:AC10,AD7:AD10,AC$3:AC$6,AD$3:AD$6)</f>
        <v>0</v>
      </c>
      <c r="AE53" s="10" cm="1">
        <f t="array" ref="AE53">bdRateExtend(AC7:AC10,AE7:AE10,AC$3:AC$6,AE$3:AE$6)</f>
        <v>0</v>
      </c>
      <c r="AG53" s="10" cm="1">
        <f t="array" ref="AG53">bdRateExtend(AF7:AF10,AG7:AG10,AF$3:AF$6,AG$3:AG$6)</f>
        <v>-6.2882634937282855E-2</v>
      </c>
      <c r="AH53" s="10" cm="1">
        <f t="array" ref="AH53">bdRateExtend(AF7:AF10,AH7:AH10,AF$3:AF$6,AH$3:AH$6)</f>
        <v>-6.8292208869087712E-2</v>
      </c>
      <c r="AJ53" s="10" cm="1">
        <f t="array" ref="AJ53">bdRateExtend(AI7:AI10,AJ7:AJ10,AI$3:AI$6,AJ$3:AJ$6)</f>
        <v>0</v>
      </c>
      <c r="AK53" s="10" cm="1">
        <f t="array" ref="AK53">bdRateExtend(AI7:AI10,AK7:AK10,AI$3:AI$6,AK$3:AK$6)</f>
        <v>0</v>
      </c>
    </row>
    <row r="54" spans="1:48" x14ac:dyDescent="0.35">
      <c r="A54" s="108"/>
      <c r="B54" t="s">
        <v>18</v>
      </c>
      <c r="C54" s="1" cm="1">
        <f t="array" ref="C54">bdPSNRExtend(B7:B10,C7:C10,B$3:B$6,C$3:C$6)</f>
        <v>3.2653228933374017</v>
      </c>
      <c r="D54" s="1" cm="1">
        <f t="array" ref="D54">bdPSNRExtend(B7:B10,D7:D10,B$3:B$6,D$3:D$6)</f>
        <v>2.5063633099630427</v>
      </c>
      <c r="F54" s="1" cm="1">
        <f t="array" ref="F54">bdPSNRExtend(E7:E10,F7:F10,E$3:E$6,F$3:F$6)</f>
        <v>1.2735897337015374</v>
      </c>
      <c r="G54" s="1" cm="1">
        <f t="array" ref="G54">bdPSNRExtend(E7:E10,G7:G10,E$3:E$6,G$3:G$6)</f>
        <v>1.3128328108113365</v>
      </c>
      <c r="I54" s="1" cm="1">
        <f t="array" ref="I54">bdPSNRExtend(H7:H10,I7:I10,H$3:H$6,I$3:I$6)</f>
        <v>4.8774840643782555</v>
      </c>
      <c r="J54" s="1" cm="1">
        <f t="array" ref="J54">bdPSNRExtend(H7:H10,J7:J10,H$3:H$6,J$3:J$6)</f>
        <v>4.1334767516685824</v>
      </c>
      <c r="L54" s="1" cm="1">
        <f t="array" ref="L54">bdPSNRExtend(K7:K10,L7:L10,K$3:K$6,L$3:L$6)</f>
        <v>3.2387565127545423</v>
      </c>
      <c r="M54" s="1" cm="1">
        <f t="array" ref="M54">bdPSNRExtend(K7:K10,M7:M10,K$3:K$6,M$3:M$6)</f>
        <v>2.801591197500922</v>
      </c>
      <c r="O54" s="1" cm="1">
        <f t="array" ref="O54">bdPSNRExtend(N7:N10,O7:O10,N$3:N$6,O$3:O$6)</f>
        <v>2.1002714190749168</v>
      </c>
      <c r="P54" s="1" cm="1">
        <f t="array" ref="P54">bdPSNRExtend(N7:N10,P7:P10,N$3:N$6,P$3:P$6)</f>
        <v>4.584695860161859</v>
      </c>
      <c r="R54" s="1" cm="1">
        <f t="array" ref="R54">bdPSNRExtend(Q7:Q10,R7:R10,Q$3:Q$6,R$3:R$6)</f>
        <v>0.62658401283308207</v>
      </c>
      <c r="S54" s="1" cm="1">
        <f t="array" ref="S54">bdPSNRExtend(Q7:Q10,S7:S10,Q$3:Q$6,S$3:S$6)</f>
        <v>1.4422568107080369</v>
      </c>
      <c r="U54" s="1" cm="1">
        <f t="array" ref="U54">bdPSNRExtend(T7:T10,U7:U10,T$3:T$6,U$3:U$6)</f>
        <v>5.0137558396215275E-2</v>
      </c>
      <c r="V54" s="1" cm="1">
        <f t="array" ref="V54">bdPSNRExtend(T7:T10,V7:V10,T$3:T$6,V$3:V$6)</f>
        <v>0.10406822224330817</v>
      </c>
      <c r="X54" s="1" cm="1">
        <f t="array" ref="X54">bdPSNRExtend(W7:W10,X7:X10,W$3:W$6,X$3:X$6)</f>
        <v>-0.38717743387436726</v>
      </c>
      <c r="Y54" s="1" cm="1">
        <f t="array" ref="Y54">bdPSNRExtend(W7:W10,Y7:Y10,W$3:W$6,Y$3:Y$6)</f>
        <v>0.91062379673246985</v>
      </c>
      <c r="AA54" s="1" cm="1">
        <f t="array" ref="AA54">bdPSNRExtend(Z7:Z10,AA7:AA10,Z$3:Z$6,AA$3:AA$6)</f>
        <v>0</v>
      </c>
      <c r="AB54" s="1" cm="1">
        <f t="array" ref="AB54">bdPSNRExtend(Z7:Z10,AB7:AB10,Z$3:Z$6,AB$3:AB$6)</f>
        <v>0</v>
      </c>
      <c r="AD54" s="1" cm="1">
        <f t="array" ref="AD54">bdPSNRExtend(AC7:AC10,AD7:AD10,AC$3:AC$6,AD$3:AD$6)</f>
        <v>0</v>
      </c>
      <c r="AE54" s="1" cm="1">
        <f t="array" ref="AE54">bdPSNRExtend(AC7:AC10,AE7:AE10,AC$3:AC$6,AE$3:AE$6)</f>
        <v>0</v>
      </c>
      <c r="AG54" s="1" cm="1">
        <f t="array" ref="AG54">bdPSNRExtend(AF7:AF10,AG7:AG10,AF$3:AF$6,AG$3:AG$6)</f>
        <v>0.19402290098708849</v>
      </c>
      <c r="AH54" s="1" cm="1">
        <f t="array" ref="AH54">bdPSNRExtend(AF7:AF10,AH7:AH10,AF$3:AF$6,AH$3:AH$6)</f>
        <v>0.28511535633801793</v>
      </c>
      <c r="AJ54" s="1" cm="1">
        <f t="array" ref="AJ54">bdPSNRExtend(AI7:AI10,AJ7:AJ10,AI$3:AI$6,AJ$3:AJ$6)</f>
        <v>0</v>
      </c>
      <c r="AK54" s="1" cm="1">
        <f t="array" ref="AK54">bdPSNRExtend(AI7:AI10,AK7:AK10,AI$3:AI$6,AK$3:AK$6)</f>
        <v>0</v>
      </c>
    </row>
    <row r="56" spans="1:48" ht="26" x14ac:dyDescent="0.6">
      <c r="W56" s="27" t="s">
        <v>138</v>
      </c>
    </row>
    <row r="57" spans="1:48" x14ac:dyDescent="0.35">
      <c r="A57" t="s">
        <v>139</v>
      </c>
      <c r="B57" s="105" t="s">
        <v>156</v>
      </c>
      <c r="C57" s="106"/>
      <c r="D57" s="106"/>
      <c r="F57" t="s">
        <v>159</v>
      </c>
      <c r="H57" s="45" t="s">
        <v>160</v>
      </c>
    </row>
    <row r="58" spans="1:48" x14ac:dyDescent="0.35">
      <c r="B58" s="8" t="str" cm="1">
        <f t="array" aca="1" ref="B58:D94" ca="1">INDIRECT(B57)</f>
        <v>bpp</v>
      </c>
      <c r="C58" s="2" t="str">
        <f ca="1"/>
        <v>PSNR D1</v>
      </c>
      <c r="D58" s="58" t="str">
        <f ca="1"/>
        <v>PSNR D2</v>
      </c>
      <c r="F58" s="30" t="str" cm="1">
        <f t="array" aca="1" ref="F58:F94" ca="1">INDIRECT(H57)</f>
        <v>PSNR D1</v>
      </c>
    </row>
    <row r="59" spans="1:48" x14ac:dyDescent="0.35">
      <c r="A59" s="109" t="str">
        <f>A3</f>
        <v>JPEG PCC VM v4.1</v>
      </c>
      <c r="B59" s="8">
        <f ca="1"/>
        <v>2.9205250000000002E-2</v>
      </c>
      <c r="C59" s="2">
        <f ca="1"/>
        <v>65.146924999999996</v>
      </c>
      <c r="D59" s="4">
        <f ca="1"/>
        <v>67.163574999999994</v>
      </c>
      <c r="F59" s="30">
        <f ca="1"/>
        <v>65.146924999999996</v>
      </c>
    </row>
    <row r="60" spans="1:48" x14ac:dyDescent="0.35">
      <c r="A60" s="110"/>
      <c r="B60" s="7">
        <f ca="1"/>
        <v>0.14413185000000001</v>
      </c>
      <c r="C60">
        <f ca="1"/>
        <v>73.021850000000001</v>
      </c>
      <c r="D60" s="4">
        <f ca="1"/>
        <v>76.412225000000007</v>
      </c>
      <c r="F60" s="25">
        <f ca="1"/>
        <v>73.021850000000001</v>
      </c>
    </row>
    <row r="61" spans="1:48" x14ac:dyDescent="0.35">
      <c r="A61" s="110"/>
      <c r="B61" s="7">
        <f ca="1"/>
        <v>0.34608699999999998</v>
      </c>
      <c r="C61">
        <f ca="1"/>
        <v>76.635199999999998</v>
      </c>
      <c r="D61" s="4">
        <f ca="1"/>
        <v>80.851500000000001</v>
      </c>
      <c r="F61" s="25">
        <f ca="1"/>
        <v>76.635199999999998</v>
      </c>
    </row>
    <row r="62" spans="1:48" x14ac:dyDescent="0.35">
      <c r="A62" s="111"/>
      <c r="B62" s="9">
        <f ca="1"/>
        <v>0.65236300000000003</v>
      </c>
      <c r="C62" s="5">
        <f ca="1"/>
        <v>78.437150000000003</v>
      </c>
      <c r="D62" s="6">
        <f ca="1"/>
        <v>82.891674999999992</v>
      </c>
      <c r="F62" s="41">
        <f ca="1"/>
        <v>78.437150000000003</v>
      </c>
      <c r="W62" t="s">
        <v>187</v>
      </c>
      <c r="X62" s="93" t="str">
        <f>A43</f>
        <v>G-PCC Octree v24</v>
      </c>
      <c r="Y62" s="94"/>
      <c r="Z62" s="94"/>
      <c r="AA62" s="95"/>
      <c r="AB62" s="93" t="str">
        <f>A45</f>
        <v>V-PCC Intra v23</v>
      </c>
      <c r="AC62" s="94"/>
      <c r="AD62" s="94"/>
      <c r="AE62" s="95"/>
      <c r="AF62" s="93" t="str">
        <f>A47</f>
        <v>PCGCv2 [25]</v>
      </c>
      <c r="AG62" s="94"/>
      <c r="AH62" s="94"/>
      <c r="AI62" s="95"/>
      <c r="AJ62" s="93" t="str">
        <f>A49</f>
        <v>PCGFormer [26]</v>
      </c>
      <c r="AK62" s="94"/>
      <c r="AL62" s="94"/>
      <c r="AM62" s="95"/>
      <c r="AN62" s="93" t="str">
        <f>A51</f>
        <v>GRASP-Net [27]</v>
      </c>
      <c r="AO62" s="94"/>
      <c r="AP62" s="94"/>
      <c r="AQ62" s="95"/>
      <c r="AS62" s="93" t="str">
        <f>A53</f>
        <v>JPEG PCC VM v4.1 noSR</v>
      </c>
      <c r="AT62" s="94"/>
      <c r="AU62" s="94"/>
      <c r="AV62" s="95"/>
    </row>
    <row r="63" spans="1:48" x14ac:dyDescent="0.35">
      <c r="A63" s="99" t="str">
        <f>A7</f>
        <v>JPEG PCC VM v4.1 noSR</v>
      </c>
      <c r="B63" s="8">
        <f ca="1"/>
        <v>2.9014175E-2</v>
      </c>
      <c r="C63" s="2">
        <f ca="1"/>
        <v>60.270499999999998</v>
      </c>
      <c r="D63" s="3">
        <f ca="1"/>
        <v>61.968799999999995</v>
      </c>
      <c r="F63" s="25">
        <f ca="1"/>
        <v>60.270499999999998</v>
      </c>
      <c r="X63" s="102" t="s">
        <v>148</v>
      </c>
      <c r="Y63" s="103"/>
      <c r="Z63" s="90" t="s">
        <v>149</v>
      </c>
      <c r="AA63" s="92"/>
      <c r="AB63" s="102" t="s">
        <v>148</v>
      </c>
      <c r="AC63" s="103"/>
      <c r="AD63" s="90" t="s">
        <v>149</v>
      </c>
      <c r="AE63" s="92"/>
      <c r="AF63" s="102" t="s">
        <v>148</v>
      </c>
      <c r="AG63" s="103"/>
      <c r="AH63" s="90" t="s">
        <v>149</v>
      </c>
      <c r="AI63" s="92"/>
      <c r="AJ63" s="102" t="s">
        <v>148</v>
      </c>
      <c r="AK63" s="103"/>
      <c r="AL63" s="90" t="s">
        <v>149</v>
      </c>
      <c r="AM63" s="92"/>
      <c r="AN63" s="102" t="s">
        <v>148</v>
      </c>
      <c r="AO63" s="103"/>
      <c r="AP63" s="90" t="s">
        <v>149</v>
      </c>
      <c r="AQ63" s="92"/>
      <c r="AS63" s="102" t="s">
        <v>148</v>
      </c>
      <c r="AT63" s="103"/>
      <c r="AU63" s="90" t="s">
        <v>149</v>
      </c>
      <c r="AV63" s="92"/>
    </row>
    <row r="64" spans="1:48" x14ac:dyDescent="0.35">
      <c r="A64" s="100"/>
      <c r="B64" s="7">
        <f ca="1"/>
        <v>0.14371234999999999</v>
      </c>
      <c r="C64">
        <f ca="1"/>
        <v>68.166499999999999</v>
      </c>
      <c r="D64" s="4">
        <f ca="1"/>
        <v>72.668675000000007</v>
      </c>
      <c r="F64" s="25">
        <f ca="1"/>
        <v>68.166499999999999</v>
      </c>
      <c r="V64" s="59" t="s">
        <v>168</v>
      </c>
      <c r="W64" s="28" t="s">
        <v>140</v>
      </c>
      <c r="X64" s="29" t="s">
        <v>17</v>
      </c>
      <c r="Y64" s="21" t="s">
        <v>18</v>
      </c>
      <c r="Z64" s="29" t="s">
        <v>17</v>
      </c>
      <c r="AA64" s="22" t="s">
        <v>18</v>
      </c>
      <c r="AB64" s="29" t="s">
        <v>17</v>
      </c>
      <c r="AC64" s="21" t="s">
        <v>18</v>
      </c>
      <c r="AD64" s="29" t="s">
        <v>17</v>
      </c>
      <c r="AE64" s="22" t="s">
        <v>18</v>
      </c>
      <c r="AF64" s="29" t="s">
        <v>17</v>
      </c>
      <c r="AG64" s="21" t="s">
        <v>18</v>
      </c>
      <c r="AH64" s="29" t="s">
        <v>17</v>
      </c>
      <c r="AI64" s="22" t="s">
        <v>18</v>
      </c>
      <c r="AJ64" s="29" t="s">
        <v>17</v>
      </c>
      <c r="AK64" s="21" t="s">
        <v>18</v>
      </c>
      <c r="AL64" s="29" t="s">
        <v>17</v>
      </c>
      <c r="AM64" s="22" t="s">
        <v>18</v>
      </c>
      <c r="AN64" s="29" t="s">
        <v>17</v>
      </c>
      <c r="AO64" s="21" t="s">
        <v>18</v>
      </c>
      <c r="AP64" s="29" t="s">
        <v>17</v>
      </c>
      <c r="AQ64" s="22" t="s">
        <v>18</v>
      </c>
      <c r="AS64" s="29" t="s">
        <v>17</v>
      </c>
      <c r="AT64" s="21" t="s">
        <v>18</v>
      </c>
      <c r="AU64" s="29" t="s">
        <v>17</v>
      </c>
      <c r="AV64" s="22" t="s">
        <v>18</v>
      </c>
    </row>
    <row r="65" spans="1:48" x14ac:dyDescent="0.35">
      <c r="A65" s="100"/>
      <c r="B65" s="7">
        <f ca="1"/>
        <v>0.34608699999999998</v>
      </c>
      <c r="C65">
        <f ca="1"/>
        <v>76.635199999999998</v>
      </c>
      <c r="D65" s="4">
        <f ca="1"/>
        <v>80.851500000000001</v>
      </c>
      <c r="F65" s="25">
        <f ca="1"/>
        <v>76.635199999999998</v>
      </c>
      <c r="V65" s="99" t="s">
        <v>169</v>
      </c>
      <c r="W65" s="30" t="s">
        <v>133</v>
      </c>
      <c r="X65" s="67">
        <f>C43</f>
        <v>-0.85136602181034093</v>
      </c>
      <c r="Y65" s="70">
        <f>C44</f>
        <v>8.2115699132353743</v>
      </c>
      <c r="Z65" s="67">
        <f>D43</f>
        <v>-0.75482706132501909</v>
      </c>
      <c r="AA65" s="75">
        <f>D44</f>
        <v>6.8127711240700624</v>
      </c>
      <c r="AB65" s="67">
        <f>C45</f>
        <v>-0.59956500039516625</v>
      </c>
      <c r="AC65" s="70">
        <f>C46</f>
        <v>4.1291567730019398</v>
      </c>
      <c r="AD65" s="67">
        <f>D45</f>
        <v>-0.57244397154756455</v>
      </c>
      <c r="AE65" s="75">
        <f>D46</f>
        <v>4.756644817278711</v>
      </c>
      <c r="AF65" s="67">
        <f>C47</f>
        <v>-0.15500349715390471</v>
      </c>
      <c r="AG65" s="70">
        <f>C48</f>
        <v>0.67674843592213962</v>
      </c>
      <c r="AH65" s="67">
        <f>D47</f>
        <v>-0.14118104418528765</v>
      </c>
      <c r="AI65" s="75">
        <f>D48</f>
        <v>0.70504051614109697</v>
      </c>
      <c r="AJ65" s="67">
        <f>C49</f>
        <v>8.4364528521390758E-2</v>
      </c>
      <c r="AK65" s="70">
        <f>C50</f>
        <v>-9.9739985406062923E-2</v>
      </c>
      <c r="AL65" s="67">
        <f>D49</f>
        <v>1.1999642551527412E-2</v>
      </c>
      <c r="AM65" s="75">
        <f>D50</f>
        <v>0.20540789299040305</v>
      </c>
      <c r="AN65" s="67">
        <f>C51</f>
        <v>-0.23644815514127659</v>
      </c>
      <c r="AO65" s="70">
        <f>C52</f>
        <v>1.1934063182909853</v>
      </c>
      <c r="AP65" s="67">
        <f>D51</f>
        <v>-0.28085712925932271</v>
      </c>
      <c r="AQ65" s="75">
        <f>D52</f>
        <v>1.7133100643211407</v>
      </c>
      <c r="AS65" s="67">
        <f>C53</f>
        <v>-0.49962487314988724</v>
      </c>
      <c r="AT65" s="70">
        <f>C54</f>
        <v>3.2653228933374017</v>
      </c>
      <c r="AU65" s="67">
        <f>D53</f>
        <v>-0.38055126195011368</v>
      </c>
      <c r="AV65" s="75">
        <f>D54</f>
        <v>2.5063633099630427</v>
      </c>
    </row>
    <row r="66" spans="1:48" x14ac:dyDescent="0.35">
      <c r="A66" s="101"/>
      <c r="B66" s="9">
        <f ca="1"/>
        <v>0.65236300000000003</v>
      </c>
      <c r="C66" s="5">
        <f ca="1"/>
        <v>78.437150000000003</v>
      </c>
      <c r="D66" s="6">
        <f ca="1"/>
        <v>82.891674999999992</v>
      </c>
      <c r="F66" s="25">
        <f ca="1"/>
        <v>78.437150000000003</v>
      </c>
      <c r="V66" s="100"/>
      <c r="W66" s="25" t="s">
        <v>134</v>
      </c>
      <c r="X66" s="68">
        <f>F43</f>
        <v>-0.82727817028016459</v>
      </c>
      <c r="Y66" s="71">
        <f>F44</f>
        <v>7.1252310047476408</v>
      </c>
      <c r="Z66" s="68">
        <f>G43</f>
        <v>-0.77090855654957002</v>
      </c>
      <c r="AA66" s="76">
        <f>G44</f>
        <v>6.0415256936379125</v>
      </c>
      <c r="AB66" s="68">
        <f>F45</f>
        <v>-0.54750373619058035</v>
      </c>
      <c r="AC66" s="71">
        <f>F46</f>
        <v>3.3500879034343982</v>
      </c>
      <c r="AD66" s="68">
        <f>G45</f>
        <v>-0.56329322385664171</v>
      </c>
      <c r="AE66" s="76">
        <f>G46</f>
        <v>3.7273658049221248</v>
      </c>
      <c r="AF66" s="68">
        <f>F47</f>
        <v>0.24422223786095465</v>
      </c>
      <c r="AG66" s="71">
        <f>F48</f>
        <v>-1.1868387113929333</v>
      </c>
      <c r="AH66" s="68">
        <f>G47</f>
        <v>0.16220044857823979</v>
      </c>
      <c r="AI66" s="76">
        <f>G48</f>
        <v>-1.0498574360446273</v>
      </c>
      <c r="AJ66" s="68">
        <f>F49</f>
        <v>0.38128705134265584</v>
      </c>
      <c r="AK66" s="71">
        <f>F50</f>
        <v>-1.1903218714796406</v>
      </c>
      <c r="AL66" s="68">
        <f>G49</f>
        <v>0.28382814479867524</v>
      </c>
      <c r="AM66" s="76">
        <f>G50</f>
        <v>-1.1343508258648054</v>
      </c>
      <c r="AN66" s="68">
        <f>F51</f>
        <v>-1.6272832393127712E-2</v>
      </c>
      <c r="AO66" s="71">
        <f>F52</f>
        <v>0.12847387694071966</v>
      </c>
      <c r="AP66" s="68">
        <f>G51</f>
        <v>-0.12582271987168714</v>
      </c>
      <c r="AQ66" s="76">
        <f>G52</f>
        <v>0.50692580660065811</v>
      </c>
      <c r="AS66" s="68">
        <f>F53</f>
        <v>-0.17427068597779405</v>
      </c>
      <c r="AT66" s="71">
        <f>F54</f>
        <v>1.2735897337015374</v>
      </c>
      <c r="AU66" s="68">
        <f>G53</f>
        <v>-0.18403089202249401</v>
      </c>
      <c r="AV66" s="76">
        <f>G54</f>
        <v>1.3128328108113365</v>
      </c>
    </row>
    <row r="67" spans="1:48" x14ac:dyDescent="0.35">
      <c r="A67" s="97" t="str">
        <f>A11</f>
        <v>G-PCC Octree v24</v>
      </c>
      <c r="B67" s="7">
        <f ca="1"/>
        <v>1.6074999999999999E-2</v>
      </c>
      <c r="C67">
        <f ca="1"/>
        <v>52.831650000000003</v>
      </c>
      <c r="D67" s="4">
        <f ca="1"/>
        <v>56.098725000000002</v>
      </c>
      <c r="F67" s="30">
        <f ca="1"/>
        <v>52.831650000000003</v>
      </c>
      <c r="V67" s="100"/>
      <c r="W67" s="25" t="s">
        <v>19</v>
      </c>
      <c r="X67" s="68">
        <f>I43</f>
        <v>-0.88203515045455938</v>
      </c>
      <c r="Y67" s="71">
        <f>I44</f>
        <v>10.294482040289239</v>
      </c>
      <c r="Z67" s="68">
        <f>J43</f>
        <v>-0.81993277887898941</v>
      </c>
      <c r="AA67" s="76">
        <f>J44</f>
        <v>9.1551694613366248</v>
      </c>
      <c r="AB67" s="68">
        <f>I45</f>
        <v>-0.43613912638769681</v>
      </c>
      <c r="AC67" s="71">
        <f>I46</f>
        <v>3.0587294504769083</v>
      </c>
      <c r="AD67" s="68">
        <f>J45</f>
        <v>-0.43314086073592306</v>
      </c>
      <c r="AE67" s="76">
        <f>J46</f>
        <v>3.6224876047459875</v>
      </c>
      <c r="AF67" s="68">
        <f>I47</f>
        <v>-0.15895606176223587</v>
      </c>
      <c r="AG67" s="71">
        <f>I48</f>
        <v>0.81098864553354499</v>
      </c>
      <c r="AH67" s="68">
        <f>J47</f>
        <v>-0.15424516928211707</v>
      </c>
      <c r="AI67" s="76">
        <f>J48</f>
        <v>0.89461606366575741</v>
      </c>
      <c r="AJ67" s="68">
        <f>I49</f>
        <v>1.3164053112353802E-2</v>
      </c>
      <c r="AK67" s="71">
        <f>I50</f>
        <v>2.0377264191491655E-2</v>
      </c>
      <c r="AL67" s="68">
        <f>J49</f>
        <v>7.6783086134921685E-3</v>
      </c>
      <c r="AM67" s="76">
        <f>J50</f>
        <v>0.11010092046543603</v>
      </c>
      <c r="AN67" s="68">
        <f>I51</f>
        <v>-0.45398491228948135</v>
      </c>
      <c r="AO67" s="71">
        <f>I52</f>
        <v>2.5268874989124757</v>
      </c>
      <c r="AP67" s="68">
        <f>J51</f>
        <v>-0.46436534457039869</v>
      </c>
      <c r="AQ67" s="76">
        <f>J52</f>
        <v>3.1450569155248398</v>
      </c>
      <c r="AS67" s="68">
        <f>I53</f>
        <v>-0.4844303344324401</v>
      </c>
      <c r="AT67" s="71">
        <f>I54</f>
        <v>4.8774840643782555</v>
      </c>
      <c r="AU67" s="68">
        <f>J53</f>
        <v>-0.41239555079364498</v>
      </c>
      <c r="AV67" s="76">
        <f>J54</f>
        <v>4.1334767516685824</v>
      </c>
    </row>
    <row r="68" spans="1:48" x14ac:dyDescent="0.35">
      <c r="A68" s="97"/>
      <c r="B68" s="7">
        <f ca="1"/>
        <v>5.2525000000000002E-2</v>
      </c>
      <c r="C68">
        <f ca="1"/>
        <v>58.555074999999995</v>
      </c>
      <c r="D68" s="4">
        <f ca="1"/>
        <v>62.623375000000003</v>
      </c>
      <c r="F68" s="25">
        <f ca="1"/>
        <v>58.555074999999995</v>
      </c>
      <c r="V68" s="100"/>
      <c r="W68" s="25" t="s">
        <v>21</v>
      </c>
      <c r="X68" s="68">
        <f>L43</f>
        <v>-0.91321827242835929</v>
      </c>
      <c r="Y68" s="72">
        <f>L44</f>
        <v>10.011531696215293</v>
      </c>
      <c r="Z68" s="68">
        <f>M43</f>
        <v>-0.83636093877859463</v>
      </c>
      <c r="AA68" s="77">
        <f>M44</f>
        <v>8.9976804524482343</v>
      </c>
      <c r="AB68" s="68">
        <f>L45</f>
        <v>-0.37972856868550153</v>
      </c>
      <c r="AC68" s="72">
        <f>L46</f>
        <v>2.3670198387018666</v>
      </c>
      <c r="AD68" s="68">
        <f>M45</f>
        <v>-0.32998778803971895</v>
      </c>
      <c r="AE68" s="77">
        <f>M46</f>
        <v>2.5905206184977527</v>
      </c>
      <c r="AF68" s="68">
        <f>L47</f>
        <v>-0.60692319867755895</v>
      </c>
      <c r="AG68" s="72">
        <f>L48</f>
        <v>3.6442932084439668</v>
      </c>
      <c r="AH68" s="68">
        <f>M47</f>
        <v>-0.18171693225164631</v>
      </c>
      <c r="AI68" s="77">
        <f>M48</f>
        <v>1.0254971768569612</v>
      </c>
      <c r="AJ68" s="68">
        <f>L49</f>
        <v>-0.68059337999356873</v>
      </c>
      <c r="AK68" s="72">
        <f>L50</f>
        <v>3.480918289036623</v>
      </c>
      <c r="AL68" s="68">
        <f>M49</f>
        <v>9.4206295623030734E-2</v>
      </c>
      <c r="AM68" s="77">
        <f>M50</f>
        <v>-0.13555957590447273</v>
      </c>
      <c r="AN68" s="68">
        <f>L51</f>
        <v>-0.50519265397529045</v>
      </c>
      <c r="AO68" s="72">
        <f>L52</f>
        <v>2.9227732450879245</v>
      </c>
      <c r="AP68" s="68">
        <f>M51</f>
        <v>-0.50326646155678945</v>
      </c>
      <c r="AQ68" s="77">
        <f>M52</f>
        <v>3.7102539112013071</v>
      </c>
      <c r="AS68" s="68">
        <f>L53</f>
        <v>-0.45395553204301331</v>
      </c>
      <c r="AT68" s="72">
        <f>L54</f>
        <v>3.2387565127545423</v>
      </c>
      <c r="AU68" s="68">
        <f>M53</f>
        <v>-0.36015935455218206</v>
      </c>
      <c r="AV68" s="77">
        <f>M54</f>
        <v>2.801591197500922</v>
      </c>
    </row>
    <row r="69" spans="1:48" x14ac:dyDescent="0.35">
      <c r="A69" s="97"/>
      <c r="B69" s="7">
        <f ca="1"/>
        <v>0.17804999999999999</v>
      </c>
      <c r="C69">
        <f ca="1"/>
        <v>63.616675000000001</v>
      </c>
      <c r="D69" s="4">
        <f ca="1"/>
        <v>68.259900000000002</v>
      </c>
      <c r="F69" s="25">
        <f ca="1"/>
        <v>63.616675000000001</v>
      </c>
      <c r="V69" s="99" t="s">
        <v>170</v>
      </c>
      <c r="W69" s="30" t="s">
        <v>20</v>
      </c>
      <c r="X69" s="67">
        <f>O43</f>
        <v>-0.79927690209905633</v>
      </c>
      <c r="Y69" s="73">
        <f>O44</f>
        <v>5.6610888036520572</v>
      </c>
      <c r="Z69" s="67">
        <f>P43</f>
        <v>-0.88886878955639892</v>
      </c>
      <c r="AA69" s="78">
        <f>P44</f>
        <v>8.4562168166195644</v>
      </c>
      <c r="AB69" s="67">
        <f>O45</f>
        <v>-0.40775945440082717</v>
      </c>
      <c r="AC69" s="73">
        <f>O46</f>
        <v>0.98828866494087098</v>
      </c>
      <c r="AD69" s="67">
        <f>P45</f>
        <v>-0.39745862517642749</v>
      </c>
      <c r="AE69" s="78">
        <f>P46</f>
        <v>1.9087323020328795</v>
      </c>
      <c r="AF69" s="67">
        <f>O47</f>
        <v>-0.790755977977737</v>
      </c>
      <c r="AG69" s="73">
        <f>O48</f>
        <v>3.1711624835550585</v>
      </c>
      <c r="AH69" s="67">
        <f>P47</f>
        <v>-0.64565297482887596</v>
      </c>
      <c r="AI69" s="78">
        <f>P48</f>
        <v>4.3177608951807178</v>
      </c>
      <c r="AJ69" s="67">
        <f>O49</f>
        <v>-0.91058350471875504</v>
      </c>
      <c r="AK69" s="73">
        <f>O50</f>
        <v>3.2216986872355742</v>
      </c>
      <c r="AL69" s="67">
        <f>P49</f>
        <v>-0.31454214109260681</v>
      </c>
      <c r="AM69" s="78">
        <f>P50</f>
        <v>3.1393790621548963</v>
      </c>
      <c r="AN69" s="67">
        <f>O51</f>
        <v>-0.42202179260121286</v>
      </c>
      <c r="AO69" s="73">
        <f>O52</f>
        <v>0.52916250911053297</v>
      </c>
      <c r="AP69" s="67">
        <f>P51</f>
        <v>-0.470125411843757</v>
      </c>
      <c r="AQ69" s="78">
        <f>P52</f>
        <v>1.4768940454720345</v>
      </c>
      <c r="AS69" s="67">
        <f>O53</f>
        <v>-0.71036874389055427</v>
      </c>
      <c r="AT69" s="73">
        <f>O54</f>
        <v>2.1002714190749168</v>
      </c>
      <c r="AU69" s="67">
        <f>P53</f>
        <v>-0.72777874223511874</v>
      </c>
      <c r="AV69" s="78">
        <f>P54</f>
        <v>4.584695860161859</v>
      </c>
    </row>
    <row r="70" spans="1:48" x14ac:dyDescent="0.35">
      <c r="A70" s="97"/>
      <c r="B70" s="7">
        <f ca="1"/>
        <v>0.43230000000000002</v>
      </c>
      <c r="C70">
        <f ca="1"/>
        <v>68.606575000000007</v>
      </c>
      <c r="D70" s="4">
        <f ca="1"/>
        <v>73.317700000000002</v>
      </c>
      <c r="F70" s="25">
        <f ca="1"/>
        <v>68.606575000000007</v>
      </c>
      <c r="V70" s="100"/>
      <c r="W70" s="25" t="s">
        <v>29</v>
      </c>
      <c r="X70" s="68">
        <f>R43</f>
        <v>-0.57621064428848345</v>
      </c>
      <c r="Y70" s="72">
        <f>R44</f>
        <v>3.1254999082313031</v>
      </c>
      <c r="Z70" s="68">
        <f>S43</f>
        <v>-0.60860832295388168</v>
      </c>
      <c r="AA70" s="77">
        <f>S44</f>
        <v>3.7113541140424777</v>
      </c>
      <c r="AB70" s="68">
        <f>R45</f>
        <v>-0.25130636547206919</v>
      </c>
      <c r="AC70" s="72">
        <f>R46</f>
        <v>0.51896557769732543</v>
      </c>
      <c r="AD70" s="68">
        <f>S45</f>
        <v>-0.58869058580472977</v>
      </c>
      <c r="AE70" s="77">
        <f>S46</f>
        <v>2.5364795997467326</v>
      </c>
      <c r="AF70" s="68">
        <f>R47</f>
        <v>-0.52015789231651488</v>
      </c>
      <c r="AG70" s="72">
        <f>R48</f>
        <v>1.3963283532096835</v>
      </c>
      <c r="AH70" s="68">
        <f>S47</f>
        <v>-0.61496534045205808</v>
      </c>
      <c r="AI70" s="77">
        <f>S48</f>
        <v>1.8808747993632782</v>
      </c>
      <c r="AJ70" s="68">
        <f>R49</f>
        <v>-0.72700073631182827</v>
      </c>
      <c r="AK70" s="72">
        <f>R50</f>
        <v>2.133422834208536</v>
      </c>
      <c r="AL70" s="68">
        <f>S49</f>
        <v>-0.55250371173363533</v>
      </c>
      <c r="AM70" s="77">
        <f>S50</f>
        <v>1.6941226606670574</v>
      </c>
      <c r="AN70" s="68">
        <f>R51</f>
        <v>-7.5385692672633398E-2</v>
      </c>
      <c r="AO70" s="72">
        <f>R52</f>
        <v>0.11146152939300284</v>
      </c>
      <c r="AP70" s="68">
        <f>S51</f>
        <v>-0.32773061709393458</v>
      </c>
      <c r="AQ70" s="77">
        <f>S52</f>
        <v>1.0265525289910229</v>
      </c>
      <c r="AS70" s="68">
        <f>R53</f>
        <v>-0.21707912716730926</v>
      </c>
      <c r="AT70" s="72">
        <f>R54</f>
        <v>0.62658401283308207</v>
      </c>
      <c r="AU70" s="68">
        <f>S53</f>
        <v>-0.30753790537940184</v>
      </c>
      <c r="AV70" s="77">
        <f>S54</f>
        <v>1.4422568107080369</v>
      </c>
    </row>
    <row r="71" spans="1:48" x14ac:dyDescent="0.35">
      <c r="A71" s="97"/>
      <c r="B71" s="7">
        <f ca="1"/>
        <v>0.61685000000000001</v>
      </c>
      <c r="C71">
        <f ca="1"/>
        <v>71.085250000000002</v>
      </c>
      <c r="D71" s="4">
        <f ca="1"/>
        <v>75.948999999999998</v>
      </c>
      <c r="F71" s="25">
        <f ca="1"/>
        <v>71.085250000000002</v>
      </c>
      <c r="V71" s="100"/>
      <c r="W71" s="25" t="s">
        <v>31</v>
      </c>
      <c r="X71" s="68">
        <f>U43</f>
        <v>-0.31905658337122833</v>
      </c>
      <c r="Y71" s="72">
        <f>U44</f>
        <v>1.5477271090568543</v>
      </c>
      <c r="Z71" s="68">
        <f>V43</f>
        <v>-0.19958329663872232</v>
      </c>
      <c r="AA71" s="77">
        <f>V44</f>
        <v>0.93814791678832743</v>
      </c>
      <c r="AB71" s="68">
        <f>U45</f>
        <v>2.7354276078457529E-2</v>
      </c>
      <c r="AC71" s="72">
        <f>U46</f>
        <v>-0.1400220674535205</v>
      </c>
      <c r="AD71" s="68">
        <f>V45</f>
        <v>7.657200073258319E-2</v>
      </c>
      <c r="AE71" s="77">
        <f>V46</f>
        <v>-0.2774531026550725</v>
      </c>
      <c r="AF71" s="68">
        <f>U47</f>
        <v>-0.65084979927128539</v>
      </c>
      <c r="AG71" s="72">
        <f>U48</f>
        <v>3.1632212764059551</v>
      </c>
      <c r="AH71" s="68">
        <f>V47</f>
        <v>0.20428171479974155</v>
      </c>
      <c r="AI71" s="77">
        <f>V48</f>
        <v>-0.34982291224422135</v>
      </c>
      <c r="AJ71" s="68">
        <f>U49</f>
        <v>-0.61338993923651364</v>
      </c>
      <c r="AK71" s="72">
        <f>U50</f>
        <v>3.7040191320397255</v>
      </c>
      <c r="AL71" s="68">
        <f>V49</f>
        <v>0.34567000940428216</v>
      </c>
      <c r="AM71" s="77">
        <f>V50</f>
        <v>-0.26846359383032392</v>
      </c>
      <c r="AN71" s="68">
        <f>U51</f>
        <v>0.27143881244205725</v>
      </c>
      <c r="AO71" s="72">
        <f>U52</f>
        <v>-0.92356296172163432</v>
      </c>
      <c r="AP71" s="68">
        <f>V51</f>
        <v>0.29001224878721499</v>
      </c>
      <c r="AQ71" s="77">
        <f>V52</f>
        <v>-1.1407382040478735</v>
      </c>
      <c r="AS71" s="68">
        <f>U53</f>
        <v>-8.0810197316204535E-3</v>
      </c>
      <c r="AT71" s="72">
        <f>U54</f>
        <v>5.0137558396215275E-2</v>
      </c>
      <c r="AU71" s="68">
        <f>V53</f>
        <v>2.9793754341580492E-3</v>
      </c>
      <c r="AV71" s="77">
        <f>V54</f>
        <v>0.10406822224330817</v>
      </c>
    </row>
    <row r="72" spans="1:48" x14ac:dyDescent="0.35">
      <c r="A72" s="98"/>
      <c r="B72" s="7">
        <f ca="1"/>
        <v>0.78244999999999987</v>
      </c>
      <c r="C72">
        <f ca="1"/>
        <v>72.801800000000014</v>
      </c>
      <c r="D72" s="4">
        <f ca="1"/>
        <v>77.664424999999994</v>
      </c>
      <c r="F72" s="41">
        <f ca="1"/>
        <v>72.801800000000014</v>
      </c>
      <c r="V72" s="101"/>
      <c r="W72" s="41" t="s">
        <v>28</v>
      </c>
      <c r="X72" s="69">
        <f>X43</f>
        <v>-0.3124574157813288</v>
      </c>
      <c r="Y72" s="74">
        <f>X44</f>
        <v>1.7769539893297539</v>
      </c>
      <c r="Z72" s="69">
        <f>Y43</f>
        <v>-0.53908523615709913</v>
      </c>
      <c r="AA72" s="79">
        <f>Y44</f>
        <v>3.5420655357265605</v>
      </c>
      <c r="AB72" s="69">
        <f>X45</f>
        <v>5.799681511452083</v>
      </c>
      <c r="AC72" s="74">
        <f>X46</f>
        <v>-5.7409058690665526</v>
      </c>
      <c r="AD72" s="69">
        <f>Y45</f>
        <v>1.3243030508305851</v>
      </c>
      <c r="AE72" s="79">
        <f>Y46</f>
        <v>-3.401257846305938</v>
      </c>
      <c r="AF72" s="69">
        <f>X47</f>
        <v>-0.45638983336442351</v>
      </c>
      <c r="AG72" s="74">
        <f>X48</f>
        <v>1.4992346264722836</v>
      </c>
      <c r="AH72" s="69">
        <f>Y47</f>
        <v>-0.44876253212669737</v>
      </c>
      <c r="AI72" s="79">
        <f>Y48</f>
        <v>1.7918958396010125</v>
      </c>
      <c r="AJ72" s="69">
        <f>X49</f>
        <v>-0.63113774502843201</v>
      </c>
      <c r="AK72" s="74">
        <f>X50</f>
        <v>2.0208856432700211</v>
      </c>
      <c r="AL72" s="69">
        <f>Y49</f>
        <v>-0.3675521276775584</v>
      </c>
      <c r="AM72" s="79">
        <f>Y50</f>
        <v>1.6420254147714168</v>
      </c>
      <c r="AN72" s="69">
        <f>X51</f>
        <v>8.5175595377942281E-2</v>
      </c>
      <c r="AO72" s="74">
        <f>X52</f>
        <v>-0.26880202003654213</v>
      </c>
      <c r="AP72" s="69">
        <f>Y51</f>
        <v>-0.32087953147356107</v>
      </c>
      <c r="AQ72" s="79">
        <f>Y52</f>
        <v>1.1164928002396977</v>
      </c>
      <c r="AS72" s="69">
        <f>X53</f>
        <v>0.15276453161089099</v>
      </c>
      <c r="AT72" s="74">
        <f>X54</f>
        <v>-0.38717743387436726</v>
      </c>
      <c r="AU72" s="69">
        <f>Y53</f>
        <v>-0.20371493241197758</v>
      </c>
      <c r="AV72" s="79">
        <f>Y54</f>
        <v>0.91062379673246985</v>
      </c>
    </row>
    <row r="73" spans="1:48" x14ac:dyDescent="0.35">
      <c r="A73" s="112" t="str">
        <f>A17</f>
        <v>V-PCC Intra v23</v>
      </c>
      <c r="B73" s="8">
        <f ca="1"/>
        <v>3.2461274999999998E-2</v>
      </c>
      <c r="C73" s="2">
        <f ca="1"/>
        <v>58.495474999999999</v>
      </c>
      <c r="D73" s="3">
        <f ca="1"/>
        <v>59.569324999999999</v>
      </c>
      <c r="F73" s="30">
        <f ca="1"/>
        <v>58.495474999999999</v>
      </c>
      <c r="V73" s="100" t="s">
        <v>171</v>
      </c>
      <c r="W73" s="25" t="s">
        <v>36</v>
      </c>
      <c r="X73" s="68">
        <f>AA43</f>
        <v>-0.28319752815394206</v>
      </c>
      <c r="Y73" s="72">
        <f>AA44</f>
        <v>0.95893553621111849</v>
      </c>
      <c r="Z73" s="68">
        <f>AB43</f>
        <v>-0.14597095805086169</v>
      </c>
      <c r="AA73" s="77">
        <f>AB44</f>
        <v>0.42387357391010749</v>
      </c>
      <c r="AB73" s="68">
        <f>AA45</f>
        <v>-0.23275968278781922</v>
      </c>
      <c r="AC73" s="72">
        <f>AA46</f>
        <v>0.65019862865404265</v>
      </c>
      <c r="AD73" s="68">
        <f>AB45</f>
        <v>-0.13463092874824578</v>
      </c>
      <c r="AE73" s="77">
        <f>AB46</f>
        <v>0.42890111147760102</v>
      </c>
      <c r="AF73" s="68">
        <f>AA47</f>
        <v>-3.5454698369926207E-2</v>
      </c>
      <c r="AG73" s="72">
        <f>AA48</f>
        <v>0.53775991778430643</v>
      </c>
      <c r="AH73" s="68">
        <f>AB47</f>
        <v>-0.15130446410558174</v>
      </c>
      <c r="AI73" s="77">
        <f>AB48</f>
        <v>1.0789543352944713</v>
      </c>
      <c r="AJ73" s="68">
        <f>AA49</f>
        <v>-0.61130979774200234</v>
      </c>
      <c r="AK73" s="72">
        <f>AA50</f>
        <v>2.5627334352478965</v>
      </c>
      <c r="AL73" s="68">
        <f>AB49</f>
        <v>-0.3730538841680473</v>
      </c>
      <c r="AM73" s="77">
        <f>AB50</f>
        <v>1.2560022963136197</v>
      </c>
      <c r="AN73" s="68">
        <f>AA51</f>
        <v>0.13429011139037383</v>
      </c>
      <c r="AO73" s="72">
        <f>AA52</f>
        <v>-0.51007062394802971</v>
      </c>
      <c r="AP73" s="68">
        <f>AB51</f>
        <v>-9.559995870892124E-2</v>
      </c>
      <c r="AQ73" s="77">
        <f>AB52</f>
        <v>7.2340787735258913E-2</v>
      </c>
      <c r="AS73" s="68">
        <f>AA53</f>
        <v>0</v>
      </c>
      <c r="AT73" s="72">
        <f>AA54</f>
        <v>0</v>
      </c>
      <c r="AU73" s="68">
        <f>AB53</f>
        <v>0</v>
      </c>
      <c r="AV73" s="77">
        <f>AB54</f>
        <v>0</v>
      </c>
    </row>
    <row r="74" spans="1:48" x14ac:dyDescent="0.35">
      <c r="A74" s="108"/>
      <c r="B74" s="7">
        <f ca="1"/>
        <v>4.3878575000000003E-2</v>
      </c>
      <c r="C74">
        <f ca="1"/>
        <v>62.713875000000002</v>
      </c>
      <c r="D74" s="4">
        <f ca="1"/>
        <v>64.439899999999994</v>
      </c>
      <c r="F74" s="25">
        <f ca="1"/>
        <v>62.713875000000002</v>
      </c>
      <c r="V74" s="100"/>
      <c r="W74" s="25" t="s">
        <v>32</v>
      </c>
      <c r="X74" s="68">
        <f>AD43</f>
        <v>-0.29206605159005605</v>
      </c>
      <c r="Y74" s="72">
        <f>AD44</f>
        <v>1.0820342485763959</v>
      </c>
      <c r="Z74" s="68">
        <f>AE43</f>
        <v>-0.19180128379858064</v>
      </c>
      <c r="AA74" s="77">
        <f>AE44</f>
        <v>0.43526098490152393</v>
      </c>
      <c r="AB74" s="68">
        <f>AD45</f>
        <v>-0.68706003661465798</v>
      </c>
      <c r="AC74" s="72">
        <f>AD46</f>
        <v>3.0900417652136585</v>
      </c>
      <c r="AD74" s="68">
        <f>AE45</f>
        <v>-0.75937785517343315</v>
      </c>
      <c r="AE74" s="77">
        <f>AE46</f>
        <v>4.0493177925541088</v>
      </c>
      <c r="AF74" s="68">
        <f>AD47</f>
        <v>-0.57339290565421863</v>
      </c>
      <c r="AG74" s="72">
        <f>AD48</f>
        <v>2.7444607002734482</v>
      </c>
      <c r="AH74" s="68">
        <f>AE47</f>
        <v>-0.50206755618887344</v>
      </c>
      <c r="AI74" s="77">
        <f>AE48</f>
        <v>2.5380244180123337</v>
      </c>
      <c r="AJ74" s="68">
        <f>AD49</f>
        <v>-0.59635749209023547</v>
      </c>
      <c r="AK74" s="72">
        <f>AD50</f>
        <v>2.9178574568638025</v>
      </c>
      <c r="AL74" s="68">
        <f>AE49</f>
        <v>-0.52571699908867664</v>
      </c>
      <c r="AM74" s="77">
        <f>AE50</f>
        <v>2.628132751011548</v>
      </c>
      <c r="AN74" s="68">
        <f>AD51</f>
        <v>-4.0317520352873615E-2</v>
      </c>
      <c r="AO74" s="72">
        <f>AD52</f>
        <v>-0.5506626175757231</v>
      </c>
      <c r="AP74" s="68">
        <f>AE51</f>
        <v>-3.2768118911532862E-2</v>
      </c>
      <c r="AQ74" s="77">
        <f>AE52</f>
        <v>-0.54240322726607082</v>
      </c>
      <c r="AS74" s="68">
        <f>AD53</f>
        <v>0</v>
      </c>
      <c r="AT74" s="72">
        <f>AD54</f>
        <v>0</v>
      </c>
      <c r="AU74" s="68">
        <f>AE53</f>
        <v>0</v>
      </c>
      <c r="AV74" s="77">
        <f>AE54</f>
        <v>0</v>
      </c>
    </row>
    <row r="75" spans="1:48" x14ac:dyDescent="0.35">
      <c r="A75" s="108"/>
      <c r="B75" s="7">
        <f ca="1"/>
        <v>0.12012895000000001</v>
      </c>
      <c r="C75">
        <f ca="1"/>
        <v>69.837549999999993</v>
      </c>
      <c r="D75" s="4">
        <f ca="1"/>
        <v>72.650350000000003</v>
      </c>
      <c r="F75" s="25">
        <f ca="1"/>
        <v>69.837549999999993</v>
      </c>
      <c r="V75" s="100"/>
      <c r="W75" s="25" t="s">
        <v>33</v>
      </c>
      <c r="X75" s="68">
        <f>AG43</f>
        <v>-0.35223289786476064</v>
      </c>
      <c r="Y75" s="72">
        <f>AG44</f>
        <v>1.6109967813733825</v>
      </c>
      <c r="Z75" s="68">
        <f>AH43</f>
        <v>-0.27098148466254357</v>
      </c>
      <c r="AA75" s="77">
        <f>AH44</f>
        <v>1.2760047095096771</v>
      </c>
      <c r="AB75" s="68">
        <f>AG45</f>
        <v>-0.7164791154904836</v>
      </c>
      <c r="AC75" s="72">
        <f>AG46</f>
        <v>2.855234826138243</v>
      </c>
      <c r="AD75" s="68">
        <f>AH45</f>
        <v>-0.86209215910284986</v>
      </c>
      <c r="AE75" s="77">
        <f>AH46</f>
        <v>5.1933530311535545</v>
      </c>
      <c r="AF75" s="68">
        <f>AG47</f>
        <v>-0.21983618168500818</v>
      </c>
      <c r="AG75" s="72">
        <f>AG48</f>
        <v>0.71508980962671254</v>
      </c>
      <c r="AH75" s="68">
        <f>AH47</f>
        <v>-0.12948276871052877</v>
      </c>
      <c r="AI75" s="77">
        <f>AH48</f>
        <v>0.84028692197181332</v>
      </c>
      <c r="AJ75" s="68">
        <f>AG49</f>
        <v>-0.19336593161783122</v>
      </c>
      <c r="AK75" s="72">
        <f>AG50</f>
        <v>0.61294099934041024</v>
      </c>
      <c r="AL75" s="68">
        <f>AH49</f>
        <v>0.25182834185305203</v>
      </c>
      <c r="AM75" s="77">
        <f>AH50</f>
        <v>-0.37179952713872633</v>
      </c>
      <c r="AN75" s="68">
        <f>AG51</f>
        <v>-4.8553464786439404E-3</v>
      </c>
      <c r="AO75" s="72">
        <f>AG52</f>
        <v>-0.10534121596268825</v>
      </c>
      <c r="AP75" s="68">
        <f>AH51</f>
        <v>-9.3953590202095039E-2</v>
      </c>
      <c r="AQ75" s="77">
        <f>AH52</f>
        <v>0.24899905246947834</v>
      </c>
      <c r="AS75" s="68">
        <f>AG53</f>
        <v>-6.2882634937282855E-2</v>
      </c>
      <c r="AT75" s="72">
        <f>AG54</f>
        <v>0.19402290098708849</v>
      </c>
      <c r="AU75" s="68">
        <f>AH53</f>
        <v>-6.8292208869087712E-2</v>
      </c>
      <c r="AV75" s="77">
        <f>AH54</f>
        <v>0.28511535633801793</v>
      </c>
    </row>
    <row r="76" spans="1:48" x14ac:dyDescent="0.35">
      <c r="A76" s="108"/>
      <c r="B76" s="7">
        <f ca="1"/>
        <v>0.29096650000000002</v>
      </c>
      <c r="C76">
        <f ca="1"/>
        <v>72.821874999999991</v>
      </c>
      <c r="D76" s="4">
        <f ca="1"/>
        <v>76.320349999999991</v>
      </c>
      <c r="F76" s="25">
        <f ca="1"/>
        <v>72.821874999999991</v>
      </c>
      <c r="V76" s="101"/>
      <c r="W76" s="41" t="s">
        <v>34</v>
      </c>
      <c r="X76" s="69">
        <f>AJ43</f>
        <v>0.45111905797165686</v>
      </c>
      <c r="Y76" s="74">
        <f>AJ44</f>
        <v>-1.6451039141810531</v>
      </c>
      <c r="Z76" s="69">
        <f>AK43</f>
        <v>-0.38668344719916714</v>
      </c>
      <c r="AA76" s="79">
        <f>AK44</f>
        <v>1.8360418690150735</v>
      </c>
      <c r="AB76" s="69">
        <f>AJ45</f>
        <v>0.37459121413600416</v>
      </c>
      <c r="AC76" s="74">
        <f>AJ46</f>
        <v>-1.5910676707000455</v>
      </c>
      <c r="AD76" s="69">
        <f>AK45</f>
        <v>-0.24701100067275106</v>
      </c>
      <c r="AE76" s="79">
        <f>AK46</f>
        <v>-1.7353228336964834</v>
      </c>
      <c r="AF76" s="69">
        <f>AJ47</f>
        <v>-0.93598694596325849</v>
      </c>
      <c r="AG76" s="74">
        <f>AJ48</f>
        <v>18.191737743157073</v>
      </c>
      <c r="AH76" s="69">
        <f>AK47</f>
        <v>-0.86577628395381079</v>
      </c>
      <c r="AI76" s="79">
        <f>AK48</f>
        <v>15.887548775201061</v>
      </c>
      <c r="AJ76" s="69">
        <f>AJ49</f>
        <v>-0.96360190618054631</v>
      </c>
      <c r="AK76" s="74">
        <f>AJ50</f>
        <v>5.8309128233606273</v>
      </c>
      <c r="AL76" s="69">
        <f>AK49</f>
        <v>-0.84869170435658514</v>
      </c>
      <c r="AM76" s="79">
        <f>AK50</f>
        <v>4.8421996955194881</v>
      </c>
      <c r="AN76" s="69">
        <f>AJ51</f>
        <v>1.0994486052767356</v>
      </c>
      <c r="AO76" s="74">
        <f>AJ52</f>
        <v>-1.9265177123974484</v>
      </c>
      <c r="AP76" s="69">
        <f>AK51</f>
        <v>9.8360473041829932E-2</v>
      </c>
      <c r="AQ76" s="79">
        <f>AK52</f>
        <v>0.26519617263311479</v>
      </c>
      <c r="AS76" s="69">
        <f>AJ53</f>
        <v>0</v>
      </c>
      <c r="AT76" s="74">
        <f>AJ54</f>
        <v>0</v>
      </c>
      <c r="AU76" s="69">
        <f>AK53</f>
        <v>0</v>
      </c>
      <c r="AV76" s="79">
        <f>AK54</f>
        <v>0</v>
      </c>
    </row>
    <row r="77" spans="1:48" x14ac:dyDescent="0.35">
      <c r="A77" s="108"/>
      <c r="B77" s="7">
        <f ca="1"/>
        <v>0.48482724999999999</v>
      </c>
      <c r="C77">
        <f ca="1"/>
        <v>74.231875000000002</v>
      </c>
      <c r="D77" s="4">
        <f ca="1"/>
        <v>78.415024999999986</v>
      </c>
      <c r="F77" s="25">
        <f ca="1"/>
        <v>74.231875000000002</v>
      </c>
      <c r="W77" s="26" t="s">
        <v>145</v>
      </c>
      <c r="X77" s="69">
        <f t="shared" ref="X77:AA77" si="27">AVERAGE(X65:X68)</f>
        <v>-0.86847440374335605</v>
      </c>
      <c r="Y77" s="74">
        <f t="shared" si="27"/>
        <v>8.9107036636218879</v>
      </c>
      <c r="Z77" s="69">
        <f t="shared" si="27"/>
        <v>-0.79550733388304318</v>
      </c>
      <c r="AA77" s="79">
        <f t="shared" si="27"/>
        <v>7.7517866828732096</v>
      </c>
      <c r="AB77" s="69">
        <f t="shared" ref="AB77:AE77" si="28">AVERAGE(AB65:AB68)</f>
        <v>-0.49073410791473626</v>
      </c>
      <c r="AC77" s="74">
        <f t="shared" si="28"/>
        <v>3.2262484914037781</v>
      </c>
      <c r="AD77" s="69">
        <f t="shared" si="28"/>
        <v>-0.47471646104496212</v>
      </c>
      <c r="AE77" s="79">
        <f t="shared" si="28"/>
        <v>3.6742547113611441</v>
      </c>
      <c r="AF77" s="69">
        <f t="shared" ref="AF77:AI77" si="29">AVERAGE(AF65:AF68)</f>
        <v>-0.16916512993318622</v>
      </c>
      <c r="AG77" s="74">
        <f t="shared" si="29"/>
        <v>0.98629789462667949</v>
      </c>
      <c r="AH77" s="69">
        <f t="shared" si="29"/>
        <v>-7.8735674285202811E-2</v>
      </c>
      <c r="AI77" s="79">
        <f t="shared" si="29"/>
        <v>0.39382408015479708</v>
      </c>
      <c r="AJ77" s="69">
        <f t="shared" ref="AJ77:AM77" si="30">AVERAGE(AJ65:AJ68)</f>
        <v>-5.0444436754292082E-2</v>
      </c>
      <c r="AK77" s="74">
        <f t="shared" si="30"/>
        <v>0.55280842408560282</v>
      </c>
      <c r="AL77" s="69">
        <f t="shared" si="30"/>
        <v>9.9428097896681389E-2</v>
      </c>
      <c r="AM77" s="79">
        <f t="shared" si="30"/>
        <v>-0.23860039707835975</v>
      </c>
      <c r="AN77" s="69">
        <f t="shared" ref="AN77:AQ77" si="31">AVERAGE(AN65:AN68)</f>
        <v>-0.302974638449794</v>
      </c>
      <c r="AO77" s="74">
        <f t="shared" si="31"/>
        <v>1.6928852348080263</v>
      </c>
      <c r="AP77" s="69">
        <f t="shared" si="31"/>
        <v>-0.3435779138145495</v>
      </c>
      <c r="AQ77" s="79">
        <f t="shared" si="31"/>
        <v>2.2688866744119864</v>
      </c>
      <c r="AS77" s="69">
        <f t="shared" ref="AS77:AV77" si="32">AVERAGE(AS65:AS68)</f>
        <v>-0.4030703564007837</v>
      </c>
      <c r="AT77" s="74">
        <f t="shared" si="32"/>
        <v>3.163788301042934</v>
      </c>
      <c r="AU77" s="69">
        <f t="shared" si="32"/>
        <v>-0.33428426482960871</v>
      </c>
      <c r="AV77" s="79">
        <f t="shared" si="32"/>
        <v>2.6885660174859711</v>
      </c>
    </row>
    <row r="78" spans="1:48" x14ac:dyDescent="0.35">
      <c r="A78" s="113"/>
      <c r="B78" s="9">
        <f ca="1"/>
        <v>0.79186250000000002</v>
      </c>
      <c r="C78" s="5">
        <f ca="1"/>
        <v>74.885824999999997</v>
      </c>
      <c r="D78" s="6">
        <f ca="1"/>
        <v>79.117850000000004</v>
      </c>
      <c r="F78" s="41">
        <f ca="1"/>
        <v>74.885824999999997</v>
      </c>
      <c r="W78" s="26" t="s">
        <v>146</v>
      </c>
      <c r="X78" s="69">
        <f t="shared" ref="X78:AA78" si="33">AVERAGE(X69:X72)</f>
        <v>-0.50175038638502423</v>
      </c>
      <c r="Y78" s="74">
        <f t="shared" si="33"/>
        <v>3.0278174525674926</v>
      </c>
      <c r="Z78" s="69">
        <f t="shared" si="33"/>
        <v>-0.55903641132652548</v>
      </c>
      <c r="AA78" s="79">
        <f t="shared" si="33"/>
        <v>4.1619460957942325</v>
      </c>
      <c r="AB78" s="69">
        <f t="shared" ref="AB78:AE78" si="34">AVERAGE(AB69:AB72)</f>
        <v>1.291992491914411</v>
      </c>
      <c r="AC78" s="74">
        <f t="shared" si="34"/>
        <v>-1.0934184234704691</v>
      </c>
      <c r="AD78" s="69">
        <f t="shared" si="34"/>
        <v>0.10368146014550275</v>
      </c>
      <c r="AE78" s="79">
        <f t="shared" si="34"/>
        <v>0.19162523820465049</v>
      </c>
      <c r="AF78" s="69">
        <f t="shared" ref="AF78:AI78" si="35">AVERAGE(AF69:AF72)</f>
        <v>-0.60453837573249025</v>
      </c>
      <c r="AG78" s="74">
        <f t="shared" si="35"/>
        <v>2.3074866849107454</v>
      </c>
      <c r="AH78" s="69">
        <f t="shared" si="35"/>
        <v>-0.37627478315197249</v>
      </c>
      <c r="AI78" s="79">
        <f t="shared" si="35"/>
        <v>1.9101771554751967</v>
      </c>
      <c r="AJ78" s="69">
        <f t="shared" ref="AJ78:AM78" si="36">AVERAGE(AJ69:AJ72)</f>
        <v>-0.72052798132388229</v>
      </c>
      <c r="AK78" s="74">
        <f t="shared" si="36"/>
        <v>2.7700065741884643</v>
      </c>
      <c r="AL78" s="69">
        <f t="shared" si="36"/>
        <v>-0.22223199277487959</v>
      </c>
      <c r="AM78" s="79">
        <f t="shared" si="36"/>
        <v>1.5517658859407615</v>
      </c>
      <c r="AN78" s="69">
        <f t="shared" ref="AN78:AQ78" si="37">AVERAGE(AN69:AN72)</f>
        <v>-3.5198269363461682E-2</v>
      </c>
      <c r="AO78" s="74">
        <f t="shared" si="37"/>
        <v>-0.13793523581366018</v>
      </c>
      <c r="AP78" s="69">
        <f t="shared" si="37"/>
        <v>-0.20718082790600942</v>
      </c>
      <c r="AQ78" s="79">
        <f t="shared" si="37"/>
        <v>0.61980029266372039</v>
      </c>
      <c r="AS78" s="69">
        <f t="shared" ref="AS78:AV78" si="38">AVERAGE(AS69:AS72)</f>
        <v>-0.19569108979464825</v>
      </c>
      <c r="AT78" s="74">
        <f t="shared" si="38"/>
        <v>0.59745388910746167</v>
      </c>
      <c r="AU78" s="69">
        <f t="shared" si="38"/>
        <v>-0.30901305114808503</v>
      </c>
      <c r="AV78" s="79">
        <f t="shared" si="38"/>
        <v>1.7604111724614184</v>
      </c>
    </row>
    <row r="79" spans="1:48" x14ac:dyDescent="0.35">
      <c r="A79" s="99" t="str">
        <f>A23</f>
        <v>PCGCv2 [25]</v>
      </c>
      <c r="B79" s="8">
        <f ca="1"/>
        <v>2.375E-2</v>
      </c>
      <c r="C79" s="2">
        <f ca="1"/>
        <v>63.435699999999997</v>
      </c>
      <c r="D79" s="3">
        <f ca="1"/>
        <v>66.42347500000001</v>
      </c>
      <c r="F79" s="30">
        <f ca="1"/>
        <v>63.435699999999997</v>
      </c>
      <c r="W79" s="26" t="s">
        <v>147</v>
      </c>
      <c r="X79" s="69">
        <f t="shared" ref="X79:AA79" si="39">AVERAGE(X73:X76)</f>
        <v>-0.11909435490927547</v>
      </c>
      <c r="Y79" s="74">
        <f t="shared" si="39"/>
        <v>0.50171566299496106</v>
      </c>
      <c r="Z79" s="69">
        <f t="shared" si="39"/>
        <v>-0.24885929342778826</v>
      </c>
      <c r="AA79" s="79">
        <f t="shared" si="39"/>
        <v>0.99279528433409558</v>
      </c>
      <c r="AB79" s="69">
        <f t="shared" ref="AB79:AE79" si="40">AVERAGE(AB73:AB76)</f>
        <v>-0.31542690518923916</v>
      </c>
      <c r="AC79" s="74">
        <f t="shared" si="40"/>
        <v>1.2511018873264748</v>
      </c>
      <c r="AD79" s="69">
        <f t="shared" si="40"/>
        <v>-0.50077798592431999</v>
      </c>
      <c r="AE79" s="79">
        <f t="shared" si="40"/>
        <v>1.9840622753721953</v>
      </c>
      <c r="AF79" s="69">
        <f t="shared" ref="AF79:AI79" si="41">AVERAGE(AF73:AF76)</f>
        <v>-0.44116768291810288</v>
      </c>
      <c r="AG79" s="74">
        <f t="shared" si="41"/>
        <v>5.5472620427103854</v>
      </c>
      <c r="AH79" s="69">
        <f t="shared" si="41"/>
        <v>-0.41215776823969869</v>
      </c>
      <c r="AI79" s="79">
        <f t="shared" si="41"/>
        <v>5.0862036126199204</v>
      </c>
      <c r="AJ79" s="69">
        <f t="shared" ref="AJ79:AM79" si="42">AVERAGE(AJ73:AJ76)</f>
        <v>-0.59115878190765381</v>
      </c>
      <c r="AK79" s="74">
        <f t="shared" si="42"/>
        <v>2.9811111787031841</v>
      </c>
      <c r="AL79" s="69">
        <f t="shared" si="42"/>
        <v>-0.37390856144006424</v>
      </c>
      <c r="AM79" s="79">
        <f t="shared" si="42"/>
        <v>2.0886338039264825</v>
      </c>
      <c r="AN79" s="69">
        <f t="shared" ref="AN79:AQ79" si="43">AVERAGE(AN73:AN76)</f>
        <v>0.29714146245889794</v>
      </c>
      <c r="AO79" s="74">
        <f t="shared" si="43"/>
        <v>-0.77314804247097246</v>
      </c>
      <c r="AP79" s="69">
        <f t="shared" si="43"/>
        <v>-3.0990298695179802E-2</v>
      </c>
      <c r="AQ79" s="79">
        <f t="shared" si="43"/>
        <v>1.103319639294531E-2</v>
      </c>
      <c r="AS79" s="69">
        <f t="shared" ref="AS79:AV79" si="44">AVERAGE(AS73:AS76)</f>
        <v>-1.5720658734320714E-2</v>
      </c>
      <c r="AT79" s="74">
        <f t="shared" si="44"/>
        <v>4.8505725246772123E-2</v>
      </c>
      <c r="AU79" s="69">
        <f t="shared" si="44"/>
        <v>-1.7073052217271928E-2</v>
      </c>
      <c r="AV79" s="79">
        <f t="shared" si="44"/>
        <v>7.1278839084504483E-2</v>
      </c>
    </row>
    <row r="80" spans="1:48" x14ac:dyDescent="0.35">
      <c r="A80" s="100"/>
      <c r="B80" s="7">
        <f ca="1"/>
        <v>4.8500000000000001E-2</v>
      </c>
      <c r="C80">
        <f ca="1"/>
        <v>67.764724999999999</v>
      </c>
      <c r="D80" s="4">
        <f ca="1"/>
        <v>71.564099999999996</v>
      </c>
      <c r="F80" s="25">
        <f ca="1"/>
        <v>67.764724999999999</v>
      </c>
    </row>
    <row r="81" spans="1:16" x14ac:dyDescent="0.35">
      <c r="A81" s="100"/>
      <c r="B81" s="7">
        <f ca="1"/>
        <v>9.5000000000000001E-2</v>
      </c>
      <c r="C81">
        <f ca="1"/>
        <v>71.350700000000003</v>
      </c>
      <c r="D81" s="4">
        <f ca="1"/>
        <v>75.272925000000001</v>
      </c>
      <c r="F81" s="25">
        <f ca="1"/>
        <v>71.350700000000003</v>
      </c>
    </row>
    <row r="82" spans="1:16" x14ac:dyDescent="0.35">
      <c r="A82" s="100"/>
      <c r="B82" s="7">
        <f ca="1"/>
        <v>0.158</v>
      </c>
      <c r="C82">
        <f ca="1"/>
        <v>73.127424999999988</v>
      </c>
      <c r="D82" s="4">
        <f ca="1"/>
        <v>77.589924999999994</v>
      </c>
      <c r="F82" s="25">
        <f ca="1"/>
        <v>73.127424999999988</v>
      </c>
    </row>
    <row r="83" spans="1:16" x14ac:dyDescent="0.35">
      <c r="A83" s="100"/>
      <c r="B83" s="7">
        <f ca="1"/>
        <v>0.25724999999999998</v>
      </c>
      <c r="C83">
        <f ca="1"/>
        <v>75.115774999999999</v>
      </c>
      <c r="D83" s="4">
        <f ca="1"/>
        <v>79.455749999999995</v>
      </c>
      <c r="F83" s="25">
        <f ca="1"/>
        <v>75.115774999999999</v>
      </c>
    </row>
    <row r="84" spans="1:16" x14ac:dyDescent="0.35">
      <c r="A84" s="100"/>
      <c r="B84" s="7">
        <f ca="1"/>
        <v>0.32650000000000001</v>
      </c>
      <c r="C84">
        <f ca="1"/>
        <v>75.801925000000011</v>
      </c>
      <c r="D84" s="4">
        <f ca="1"/>
        <v>80.117275000000006</v>
      </c>
      <c r="F84" s="25">
        <f ca="1"/>
        <v>75.801925000000011</v>
      </c>
    </row>
    <row r="85" spans="1:16" x14ac:dyDescent="0.35">
      <c r="A85" s="101"/>
      <c r="B85" s="9">
        <f ca="1"/>
        <v>0.41274999999999995</v>
      </c>
      <c r="C85" s="5">
        <f ca="1"/>
        <v>76.321475000000007</v>
      </c>
      <c r="D85" s="6">
        <f ca="1"/>
        <v>80.812024999999991</v>
      </c>
      <c r="F85" s="41">
        <f ca="1"/>
        <v>76.321475000000007</v>
      </c>
    </row>
    <row r="86" spans="1:16" x14ac:dyDescent="0.35">
      <c r="A86" s="109" t="str">
        <f>A30</f>
        <v>PCGFormer [26]</v>
      </c>
      <c r="B86" s="8">
        <f ca="1"/>
        <v>4.8500000000000001E-2</v>
      </c>
      <c r="C86" s="2">
        <f ca="1"/>
        <v>68.977599999999995</v>
      </c>
      <c r="D86" s="3">
        <f ca="1"/>
        <v>72.384275000000002</v>
      </c>
      <c r="F86" s="30">
        <f ca="1"/>
        <v>68.977599999999995</v>
      </c>
      <c r="I86" t="s">
        <v>0</v>
      </c>
      <c r="J86" t="s">
        <v>1</v>
      </c>
      <c r="K86" t="s">
        <v>2</v>
      </c>
      <c r="L86" t="s">
        <v>3</v>
      </c>
      <c r="M86" t="s">
        <v>4</v>
      </c>
      <c r="N86" t="s">
        <v>5</v>
      </c>
    </row>
    <row r="87" spans="1:16" x14ac:dyDescent="0.35">
      <c r="A87" s="110"/>
      <c r="B87" s="7">
        <f ca="1"/>
        <v>0.26249999999999996</v>
      </c>
      <c r="C87">
        <f ca="1"/>
        <v>75.124875000000003</v>
      </c>
      <c r="D87" s="4">
        <f ca="1"/>
        <v>80.138925</v>
      </c>
      <c r="F87" s="25">
        <f ca="1"/>
        <v>75.124875000000003</v>
      </c>
    </row>
    <row r="88" spans="1:16" x14ac:dyDescent="0.35">
      <c r="A88" s="110"/>
      <c r="B88" s="7">
        <f ca="1"/>
        <v>0.61699999999999999</v>
      </c>
      <c r="C88">
        <f ca="1"/>
        <v>76.716374999999999</v>
      </c>
      <c r="D88" s="4">
        <f ca="1"/>
        <v>82.133724999999998</v>
      </c>
      <c r="F88" s="25">
        <f ca="1"/>
        <v>76.716374999999999</v>
      </c>
      <c r="I88" t="s">
        <v>189</v>
      </c>
      <c r="J88" t="s">
        <v>6</v>
      </c>
      <c r="K88" t="s">
        <v>7</v>
      </c>
      <c r="L88" t="s">
        <v>8</v>
      </c>
      <c r="M88" t="s">
        <v>9</v>
      </c>
      <c r="N88">
        <v>0</v>
      </c>
      <c r="P88" t="str" cm="1">
        <f t="array" ref="P88">setChartAxis(I88,J88,K88,L88,M88,N88)</f>
        <v>X Primary Min: 0</v>
      </c>
    </row>
    <row r="89" spans="1:16" x14ac:dyDescent="0.35">
      <c r="A89" s="111"/>
      <c r="B89" s="9">
        <f ca="1"/>
        <v>0.7400000000000001</v>
      </c>
      <c r="C89" s="5">
        <f ca="1"/>
        <v>77.523899999999998</v>
      </c>
      <c r="D89" s="6">
        <f ca="1"/>
        <v>82.526499999999999</v>
      </c>
      <c r="F89" s="41">
        <f ca="1"/>
        <v>77.523899999999998</v>
      </c>
      <c r="I89" t="str">
        <f>I88</f>
        <v>Geometry</v>
      </c>
      <c r="J89" t="str">
        <f>J88</f>
        <v>Chart1</v>
      </c>
      <c r="K89" t="s">
        <v>10</v>
      </c>
      <c r="L89" t="s">
        <v>8</v>
      </c>
      <c r="M89" t="s">
        <v>9</v>
      </c>
      <c r="N89">
        <f ca="1">B99</f>
        <v>0.79999999999999993</v>
      </c>
      <c r="P89" t="str" cm="1">
        <f t="array" aca="1" ref="P89" ca="1">setChartAxis(I89,J89,K89,L89,M89,N89)</f>
        <v>X Primary Max: 0,8</v>
      </c>
    </row>
    <row r="90" spans="1:16" x14ac:dyDescent="0.35">
      <c r="A90" s="99" t="str">
        <f>A34</f>
        <v>GRASP-Net [27]</v>
      </c>
      <c r="B90" s="7">
        <f ca="1"/>
        <v>2.0250520949972376E-2</v>
      </c>
      <c r="C90">
        <f ca="1"/>
        <v>63.249600000000001</v>
      </c>
      <c r="D90" s="4">
        <f ca="1"/>
        <v>64.764825000000002</v>
      </c>
      <c r="F90" s="25">
        <f ca="1"/>
        <v>63.249600000000001</v>
      </c>
      <c r="I90" t="str">
        <f>I88</f>
        <v>Geometry</v>
      </c>
      <c r="J90" t="str">
        <f>J88</f>
        <v>Chart1</v>
      </c>
      <c r="K90" t="s">
        <v>7</v>
      </c>
      <c r="L90" t="s">
        <v>11</v>
      </c>
      <c r="M90" t="s">
        <v>9</v>
      </c>
      <c r="N90" s="1">
        <f ca="1">F98</f>
        <v>52</v>
      </c>
      <c r="P90" t="str" cm="1">
        <f t="array" aca="1" ref="P90" ca="1">setChartAxis(I90,J90,K90,L90,M90,N90)</f>
        <v>Y Primary Min: 52</v>
      </c>
    </row>
    <row r="91" spans="1:16" x14ac:dyDescent="0.35">
      <c r="A91" s="100"/>
      <c r="B91" s="7">
        <f ca="1"/>
        <v>4.1824971562592246E-2</v>
      </c>
      <c r="C91">
        <f ca="1"/>
        <v>67.633700000000005</v>
      </c>
      <c r="D91" s="4">
        <f ca="1"/>
        <v>69.803775000000002</v>
      </c>
      <c r="F91" s="25">
        <f ca="1"/>
        <v>67.633700000000005</v>
      </c>
      <c r="I91" t="str">
        <f>I88</f>
        <v>Geometry</v>
      </c>
      <c r="J91" t="str">
        <f>J88</f>
        <v>Chart1</v>
      </c>
      <c r="K91" t="s">
        <v>10</v>
      </c>
      <c r="L91" t="s">
        <v>11</v>
      </c>
      <c r="M91" t="s">
        <v>9</v>
      </c>
      <c r="N91" s="1">
        <f ca="1">F99</f>
        <v>78.5</v>
      </c>
      <c r="P91" t="str" cm="1">
        <f t="array" aca="1" ref="P91" ca="1">setChartAxis(I91,J91,K91,L91,M91,N91)</f>
        <v>Y Primary Max: 78,5</v>
      </c>
    </row>
    <row r="92" spans="1:16" x14ac:dyDescent="0.35">
      <c r="A92" s="100"/>
      <c r="B92" s="7">
        <f ca="1"/>
        <v>9.9991039730953593E-2</v>
      </c>
      <c r="C92">
        <f ca="1"/>
        <v>70.275925000000001</v>
      </c>
      <c r="D92" s="4">
        <f ca="1"/>
        <v>73.005849999999995</v>
      </c>
      <c r="F92" s="25">
        <f ca="1"/>
        <v>70.275925000000001</v>
      </c>
    </row>
    <row r="93" spans="1:16" x14ac:dyDescent="0.35">
      <c r="A93" s="100"/>
      <c r="B93" s="7">
        <f ca="1"/>
        <v>0.22911841258157425</v>
      </c>
      <c r="C93">
        <f ca="1"/>
        <v>73.360200000000006</v>
      </c>
      <c r="D93" s="4">
        <f ca="1"/>
        <v>76.811975000000004</v>
      </c>
      <c r="F93" s="25">
        <f ca="1"/>
        <v>73.360200000000006</v>
      </c>
    </row>
    <row r="94" spans="1:16" x14ac:dyDescent="0.35">
      <c r="A94" s="101"/>
      <c r="B94" s="9">
        <f ca="1"/>
        <v>0.36376772598353951</v>
      </c>
      <c r="C94" s="5">
        <f ca="1"/>
        <v>74.707700000000003</v>
      </c>
      <c r="D94" s="6">
        <f ca="1"/>
        <v>78.581500000000005</v>
      </c>
      <c r="F94" s="41">
        <f ca="1"/>
        <v>74.707700000000003</v>
      </c>
    </row>
    <row r="97" spans="1:6" x14ac:dyDescent="0.35">
      <c r="C97" t="s">
        <v>141</v>
      </c>
      <c r="D97" t="s">
        <v>142</v>
      </c>
      <c r="F97" t="str">
        <f ca="1">_xlfn.CONCAT(F58," (dB)")</f>
        <v>PSNR D1 (dB)</v>
      </c>
    </row>
    <row r="98" spans="1:6" x14ac:dyDescent="0.35">
      <c r="A98" t="s">
        <v>7</v>
      </c>
      <c r="B98">
        <f ca="1">ROUNDDOWN(MIN(SMALL(B59:B62,1),SMALL(B73:B78,1)),0)</f>
        <v>0</v>
      </c>
      <c r="C98">
        <f ca="1">ROUNDDOWN(SMALL(C59:C94,1),0)</f>
        <v>52</v>
      </c>
      <c r="D98">
        <f ca="1">ROUNDDOWN(SMALL(D59:D94,1),0)</f>
        <v>56</v>
      </c>
      <c r="F98">
        <f ca="1">ROUNDDOWN(SMALL(F59:F94,1),0)</f>
        <v>52</v>
      </c>
    </row>
    <row r="99" spans="1:6" x14ac:dyDescent="0.35">
      <c r="A99" t="s">
        <v>10</v>
      </c>
      <c r="B99">
        <f ca="1">ROUNDUP(LARGE(B59:B93,1),1)</f>
        <v>0.79999999999999993</v>
      </c>
      <c r="C99">
        <f ca="1">ROUNDUP(LARGE(C59:C94,1),1)</f>
        <v>78.5</v>
      </c>
      <c r="D99">
        <f ca="1">ROUNDUP(LARGE(D59:D94,1),1)</f>
        <v>82.899999999999991</v>
      </c>
      <c r="F99">
        <f ca="1">ROUNDUP(LARGE(F59:F94,1),1)</f>
        <v>78.5</v>
      </c>
    </row>
    <row r="102" spans="1:6" x14ac:dyDescent="0.35">
      <c r="A102" t="s">
        <v>160</v>
      </c>
    </row>
    <row r="103" spans="1:6" x14ac:dyDescent="0.35">
      <c r="A103" t="s">
        <v>161</v>
      </c>
    </row>
    <row r="141" spans="27:27" x14ac:dyDescent="0.35">
      <c r="AA141" s="1"/>
    </row>
    <row r="142" spans="27:27" x14ac:dyDescent="0.35">
      <c r="AA142" s="1"/>
    </row>
    <row r="167" spans="27:27" x14ac:dyDescent="0.35">
      <c r="AA167" s="1"/>
    </row>
    <row r="168" spans="27:27" x14ac:dyDescent="0.35">
      <c r="AA168" s="1"/>
    </row>
  </sheetData>
  <mergeCells count="57">
    <mergeCell ref="AS62:AV62"/>
    <mergeCell ref="AS63:AT63"/>
    <mergeCell ref="AU63:AV63"/>
    <mergeCell ref="A86:A89"/>
    <mergeCell ref="A73:A78"/>
    <mergeCell ref="A67:A72"/>
    <mergeCell ref="A63:A66"/>
    <mergeCell ref="A59:A62"/>
    <mergeCell ref="A79:A85"/>
    <mergeCell ref="A53:A54"/>
    <mergeCell ref="AL1:AN1"/>
    <mergeCell ref="AO1:AQ1"/>
    <mergeCell ref="AR1:AT1"/>
    <mergeCell ref="A3:A6"/>
    <mergeCell ref="A11:A16"/>
    <mergeCell ref="N1:P1"/>
    <mergeCell ref="T1:V1"/>
    <mergeCell ref="AC1:AE1"/>
    <mergeCell ref="AF1:AH1"/>
    <mergeCell ref="AI1:AK1"/>
    <mergeCell ref="Z1:AB1"/>
    <mergeCell ref="K1:M1"/>
    <mergeCell ref="Q1:S1"/>
    <mergeCell ref="W1:Y1"/>
    <mergeCell ref="E1:G1"/>
    <mergeCell ref="B1:D1"/>
    <mergeCell ref="H1:J1"/>
    <mergeCell ref="A17:A22"/>
    <mergeCell ref="A23:A29"/>
    <mergeCell ref="A30:A33"/>
    <mergeCell ref="A34:A38"/>
    <mergeCell ref="A7:A10"/>
    <mergeCell ref="B57:D57"/>
    <mergeCell ref="A43:A44"/>
    <mergeCell ref="A45:A46"/>
    <mergeCell ref="A47:A48"/>
    <mergeCell ref="A49:A50"/>
    <mergeCell ref="A51:A52"/>
    <mergeCell ref="A90:A94"/>
    <mergeCell ref="V65:V68"/>
    <mergeCell ref="V69:V72"/>
    <mergeCell ref="V73:V76"/>
    <mergeCell ref="AN62:AQ62"/>
    <mergeCell ref="AN63:AO63"/>
    <mergeCell ref="AP63:AQ63"/>
    <mergeCell ref="X62:AA62"/>
    <mergeCell ref="X63:Y63"/>
    <mergeCell ref="Z63:AA63"/>
    <mergeCell ref="AB62:AE62"/>
    <mergeCell ref="AB63:AC63"/>
    <mergeCell ref="AD63:AE63"/>
    <mergeCell ref="AF62:AI62"/>
    <mergeCell ref="AF63:AG63"/>
    <mergeCell ref="AH63:AI63"/>
    <mergeCell ref="AJ62:AM62"/>
    <mergeCell ref="AJ63:AK63"/>
    <mergeCell ref="AL63:AM63"/>
  </mergeCells>
  <conditionalFormatting sqref="Y77:Y79 AA77:AA79">
    <cfRule type="cellIs" dxfId="55" priority="77" operator="lessThan">
      <formula>0</formula>
    </cfRule>
    <cfRule type="cellIs" dxfId="54" priority="78" operator="greaterThan">
      <formula>0</formula>
    </cfRule>
  </conditionalFormatting>
  <conditionalFormatting sqref="X77:X79 Z77:Z79">
    <cfRule type="cellIs" dxfId="53" priority="79" operator="lessThan">
      <formula>0</formula>
    </cfRule>
    <cfRule type="cellIs" dxfId="52" priority="80" operator="greaterThan">
      <formula>0</formula>
    </cfRule>
  </conditionalFormatting>
  <conditionalFormatting sqref="Y65:Y76 AA65:AA76">
    <cfRule type="cellIs" dxfId="51" priority="73" operator="lessThan">
      <formula>0</formula>
    </cfRule>
    <cfRule type="cellIs" dxfId="50" priority="74" operator="greaterThan">
      <formula>0</formula>
    </cfRule>
  </conditionalFormatting>
  <conditionalFormatting sqref="X65:X76 Z65:Z76">
    <cfRule type="cellIs" dxfId="49" priority="75" operator="lessThan">
      <formula>0</formula>
    </cfRule>
    <cfRule type="cellIs" dxfId="48" priority="76" operator="greaterThan">
      <formula>0</formula>
    </cfRule>
  </conditionalFormatting>
  <conditionalFormatting sqref="AC77:AC79 AE77:AE79">
    <cfRule type="cellIs" dxfId="47" priority="69" operator="lessThan">
      <formula>0</formula>
    </cfRule>
    <cfRule type="cellIs" dxfId="46" priority="70" operator="greaterThan">
      <formula>0</formula>
    </cfRule>
  </conditionalFormatting>
  <conditionalFormatting sqref="AB77:AB79 AD77:AD79">
    <cfRule type="cellIs" dxfId="45" priority="71" operator="lessThan">
      <formula>0</formula>
    </cfRule>
    <cfRule type="cellIs" dxfId="44" priority="72" operator="greaterThan">
      <formula>0</formula>
    </cfRule>
  </conditionalFormatting>
  <conditionalFormatting sqref="AC65:AC76 AE65:AE76">
    <cfRule type="cellIs" dxfId="43" priority="65" operator="lessThan">
      <formula>0</formula>
    </cfRule>
    <cfRule type="cellIs" dxfId="42" priority="66" operator="greaterThan">
      <formula>0</formula>
    </cfRule>
  </conditionalFormatting>
  <conditionalFormatting sqref="AB65:AB76 AD65:AD76">
    <cfRule type="cellIs" dxfId="41" priority="67" operator="lessThan">
      <formula>0</formula>
    </cfRule>
    <cfRule type="cellIs" dxfId="40" priority="68" operator="greaterThan">
      <formula>0</formula>
    </cfRule>
  </conditionalFormatting>
  <conditionalFormatting sqref="AG77:AG79 AI77:AI79">
    <cfRule type="cellIs" dxfId="39" priority="61" operator="lessThan">
      <formula>0</formula>
    </cfRule>
    <cfRule type="cellIs" dxfId="38" priority="62" operator="greaterThan">
      <formula>0</formula>
    </cfRule>
  </conditionalFormatting>
  <conditionalFormatting sqref="AF77:AF79 AH77:AH79">
    <cfRule type="cellIs" dxfId="37" priority="63" operator="lessThan">
      <formula>0</formula>
    </cfRule>
    <cfRule type="cellIs" dxfId="36" priority="64" operator="greaterThan">
      <formula>0</formula>
    </cfRule>
  </conditionalFormatting>
  <conditionalFormatting sqref="AG65:AG76 AI65:AI76">
    <cfRule type="cellIs" dxfId="35" priority="57" operator="lessThan">
      <formula>0</formula>
    </cfRule>
    <cfRule type="cellIs" dxfId="34" priority="58" operator="greaterThan">
      <formula>0</formula>
    </cfRule>
  </conditionalFormatting>
  <conditionalFormatting sqref="AF65:AF76 AH65:AH76">
    <cfRule type="cellIs" dxfId="33" priority="59" operator="lessThan">
      <formula>0</formula>
    </cfRule>
    <cfRule type="cellIs" dxfId="32" priority="60" operator="greaterThan">
      <formula>0</formula>
    </cfRule>
  </conditionalFormatting>
  <conditionalFormatting sqref="AK77:AK79 AM77:AM79">
    <cfRule type="cellIs" dxfId="31" priority="53" operator="lessThan">
      <formula>0</formula>
    </cfRule>
    <cfRule type="cellIs" dxfId="30" priority="54" operator="greaterThan">
      <formula>0</formula>
    </cfRule>
  </conditionalFormatting>
  <conditionalFormatting sqref="AJ77:AJ79 AL77:AL79">
    <cfRule type="cellIs" dxfId="29" priority="55" operator="lessThan">
      <formula>0</formula>
    </cfRule>
    <cfRule type="cellIs" dxfId="28" priority="56" operator="greaterThan">
      <formula>0</formula>
    </cfRule>
  </conditionalFormatting>
  <conditionalFormatting sqref="AK65:AK76 AM65:AM76">
    <cfRule type="cellIs" dxfId="27" priority="49" operator="lessThan">
      <formula>0</formula>
    </cfRule>
    <cfRule type="cellIs" dxfId="26" priority="50" operator="greaterThan">
      <formula>0</formula>
    </cfRule>
  </conditionalFormatting>
  <conditionalFormatting sqref="AJ65:AJ76 AL65:AL76">
    <cfRule type="cellIs" dxfId="25" priority="51" operator="lessThan">
      <formula>0</formula>
    </cfRule>
    <cfRule type="cellIs" dxfId="24" priority="52" operator="greaterThan">
      <formula>0</formula>
    </cfRule>
  </conditionalFormatting>
  <conditionalFormatting sqref="AO77:AO79 AQ77:AQ79">
    <cfRule type="cellIs" dxfId="23" priority="37" operator="lessThan">
      <formula>0</formula>
    </cfRule>
    <cfRule type="cellIs" dxfId="22" priority="38" operator="greaterThan">
      <formula>0</formula>
    </cfRule>
  </conditionalFormatting>
  <conditionalFormatting sqref="AN77:AN79 AP77:AP79">
    <cfRule type="cellIs" dxfId="21" priority="39" operator="lessThan">
      <formula>0</formula>
    </cfRule>
    <cfRule type="cellIs" dxfId="20" priority="40" operator="greaterThan">
      <formula>0</formula>
    </cfRule>
  </conditionalFormatting>
  <conditionalFormatting sqref="AO65:AO76 AQ65:AQ76">
    <cfRule type="cellIs" dxfId="19" priority="33" operator="lessThan">
      <formula>0</formula>
    </cfRule>
    <cfRule type="cellIs" dxfId="18" priority="34" operator="greaterThan">
      <formula>0</formula>
    </cfRule>
  </conditionalFormatting>
  <conditionalFormatting sqref="AN65:AN76 AP65:AP76">
    <cfRule type="cellIs" dxfId="17" priority="35" operator="lessThan">
      <formula>0</formula>
    </cfRule>
    <cfRule type="cellIs" dxfId="16" priority="36" operator="greaterThan">
      <formula>0</formula>
    </cfRule>
  </conditionalFormatting>
  <conditionalFormatting sqref="AT77:AT79 AV77:AV79">
    <cfRule type="cellIs" dxfId="7" priority="5" operator="lessThan">
      <formula>0</formula>
    </cfRule>
    <cfRule type="cellIs" dxfId="6" priority="6" operator="greaterThan">
      <formula>0</formula>
    </cfRule>
  </conditionalFormatting>
  <conditionalFormatting sqref="AS77:AS79 AU77:AU79">
    <cfRule type="cellIs" dxfId="5" priority="7" operator="lessThan">
      <formula>0</formula>
    </cfRule>
    <cfRule type="cellIs" dxfId="4" priority="8" operator="greaterThan">
      <formula>0</formula>
    </cfRule>
  </conditionalFormatting>
  <conditionalFormatting sqref="AT65:AT76 AV65:AV76">
    <cfRule type="cellIs" dxfId="3" priority="1" operator="lessThan">
      <formula>0</formula>
    </cfRule>
    <cfRule type="cellIs" dxfId="2" priority="2" operator="greaterThan">
      <formula>0</formula>
    </cfRule>
  </conditionalFormatting>
  <conditionalFormatting sqref="AS65:AS76 AU65:AU76">
    <cfRule type="cellIs" dxfId="1" priority="3" operator="lessThan">
      <formula>0</formula>
    </cfRule>
    <cfRule type="cellIs" dxfId="0" priority="4" operator="greaterThan">
      <formula>0</formula>
    </cfRule>
  </conditionalFormatting>
  <dataValidations count="1">
    <dataValidation type="list" allowBlank="1" showInputMessage="1" showErrorMessage="1" sqref="H57" xr:uid="{76F2EED5-2B1C-4793-9241-BD38E4ABF4E8}">
      <formula1>$A$102:$A$103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6F51B-06E3-4777-8E6E-9AA73536B7BD}">
          <x14:formula1>
            <xm:f>Dataset!$C$3:$C$17</xm:f>
          </x14:formula1>
          <xm:sqref>B57:D57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F89F-49E8-4796-BF33-CDC1D4274D92}">
  <dimension ref="A1:CM154"/>
  <sheetViews>
    <sheetView zoomScaleNormal="100" workbookViewId="0"/>
  </sheetViews>
  <sheetFormatPr defaultColWidth="8.81640625" defaultRowHeight="14.5" x14ac:dyDescent="0.35"/>
  <cols>
    <col min="1" max="1" width="35.81640625" bestFit="1" customWidth="1"/>
    <col min="3" max="7" width="8.81640625" customWidth="1"/>
    <col min="9" max="10" width="8.81640625" customWidth="1"/>
    <col min="11" max="11" width="24.453125" bestFit="1" customWidth="1"/>
    <col min="12" max="13" width="8.81640625" customWidth="1"/>
    <col min="15" max="19" width="8.81640625" customWidth="1"/>
    <col min="21" max="23" width="8.81640625" customWidth="1"/>
    <col min="24" max="24" width="22.26953125" bestFit="1" customWidth="1"/>
    <col min="25" max="25" width="31.1796875" bestFit="1" customWidth="1"/>
    <col min="27" max="31" width="8.81640625" customWidth="1"/>
    <col min="33" max="37" width="8.81640625" customWidth="1"/>
    <col min="39" max="43" width="8.81640625" customWidth="1"/>
    <col min="45" max="49" width="8.81640625" customWidth="1"/>
    <col min="51" max="55" width="8.81640625" customWidth="1"/>
    <col min="57" max="61" width="8.81640625" customWidth="1"/>
    <col min="63" max="67" width="8.81640625" customWidth="1"/>
    <col min="69" max="73" width="8.81640625" customWidth="1"/>
    <col min="75" max="79" width="8.81640625" customWidth="1"/>
    <col min="81" max="85" width="8.81640625" customWidth="1"/>
    <col min="87" max="91" width="8.81640625" customWidth="1"/>
    <col min="93" max="97" width="8.81640625" customWidth="1"/>
    <col min="99" max="103" width="8.81640625" customWidth="1"/>
    <col min="105" max="109" width="8.81640625" customWidth="1"/>
    <col min="111" max="115" width="8.81640625" customWidth="1"/>
    <col min="117" max="123" width="8.81640625" customWidth="1"/>
  </cols>
  <sheetData>
    <row r="1" spans="1:91" x14ac:dyDescent="0.35">
      <c r="B1" s="90" t="s">
        <v>133</v>
      </c>
      <c r="C1" s="91"/>
      <c r="D1" s="91"/>
      <c r="E1" s="91"/>
      <c r="F1" s="91"/>
      <c r="G1" s="92"/>
      <c r="H1" s="90" t="s">
        <v>134</v>
      </c>
      <c r="I1" s="91"/>
      <c r="J1" s="91"/>
      <c r="K1" s="91"/>
      <c r="L1" s="91"/>
      <c r="M1" s="92"/>
      <c r="N1" s="90" t="s">
        <v>19</v>
      </c>
      <c r="O1" s="91"/>
      <c r="P1" s="91"/>
      <c r="Q1" s="91"/>
      <c r="R1" s="91"/>
      <c r="S1" s="92"/>
      <c r="T1" s="90" t="s">
        <v>21</v>
      </c>
      <c r="U1" s="91"/>
      <c r="V1" s="91"/>
      <c r="W1" s="91"/>
      <c r="X1" s="91"/>
      <c r="Y1" s="92"/>
      <c r="Z1" s="90" t="s">
        <v>20</v>
      </c>
      <c r="AA1" s="91"/>
      <c r="AB1" s="91"/>
      <c r="AC1" s="91"/>
      <c r="AD1" s="91"/>
      <c r="AE1" s="92"/>
      <c r="AF1" s="90" t="s">
        <v>29</v>
      </c>
      <c r="AG1" s="91"/>
      <c r="AH1" s="91"/>
      <c r="AI1" s="91"/>
      <c r="AJ1" s="91"/>
      <c r="AK1" s="92"/>
      <c r="AL1" s="90" t="s">
        <v>31</v>
      </c>
      <c r="AM1" s="91"/>
      <c r="AN1" s="91"/>
      <c r="AO1" s="91"/>
      <c r="AP1" s="91"/>
      <c r="AQ1" s="92"/>
      <c r="AR1" s="90" t="s">
        <v>28</v>
      </c>
      <c r="AS1" s="91"/>
      <c r="AT1" s="91"/>
      <c r="AU1" s="91"/>
      <c r="AV1" s="91"/>
      <c r="AW1" s="92"/>
      <c r="AX1" s="90" t="s">
        <v>36</v>
      </c>
      <c r="AY1" s="91"/>
      <c r="AZ1" s="91"/>
      <c r="BA1" s="91"/>
      <c r="BB1" s="91"/>
      <c r="BC1" s="92"/>
      <c r="BD1" s="90" t="s">
        <v>32</v>
      </c>
      <c r="BE1" s="91"/>
      <c r="BF1" s="91"/>
      <c r="BG1" s="91"/>
      <c r="BH1" s="91"/>
      <c r="BI1" s="92"/>
      <c r="BJ1" s="90" t="s">
        <v>33</v>
      </c>
      <c r="BK1" s="91"/>
      <c r="BL1" s="91"/>
      <c r="BM1" s="91"/>
      <c r="BN1" s="91"/>
      <c r="BO1" s="92"/>
      <c r="BP1" s="90" t="s">
        <v>34</v>
      </c>
      <c r="BQ1" s="91"/>
      <c r="BR1" s="91"/>
      <c r="BS1" s="91"/>
      <c r="BT1" s="91"/>
      <c r="BU1" s="92"/>
      <c r="BV1" s="90" t="s">
        <v>156</v>
      </c>
      <c r="BW1" s="91"/>
      <c r="BX1" s="91"/>
      <c r="BY1" s="91"/>
      <c r="BZ1" s="91"/>
      <c r="CA1" s="92"/>
      <c r="CB1" s="90" t="s">
        <v>157</v>
      </c>
      <c r="CC1" s="91"/>
      <c r="CD1" s="91"/>
      <c r="CE1" s="91"/>
      <c r="CF1" s="91"/>
      <c r="CG1" s="92"/>
      <c r="CH1" s="90" t="s">
        <v>158</v>
      </c>
      <c r="CI1" s="91"/>
      <c r="CJ1" s="91"/>
      <c r="CK1" s="91"/>
      <c r="CL1" s="91"/>
      <c r="CM1" s="92"/>
    </row>
    <row r="2" spans="1:91" x14ac:dyDescent="0.35">
      <c r="B2" s="29" t="s">
        <v>12</v>
      </c>
      <c r="C2" s="21" t="s">
        <v>148</v>
      </c>
      <c r="D2" s="21" t="s">
        <v>149</v>
      </c>
      <c r="E2" s="21" t="s">
        <v>150</v>
      </c>
      <c r="F2" s="21" t="s">
        <v>151</v>
      </c>
      <c r="G2" s="22" t="s">
        <v>144</v>
      </c>
      <c r="H2" s="29" t="s">
        <v>12</v>
      </c>
      <c r="I2" s="21" t="s">
        <v>148</v>
      </c>
      <c r="J2" s="21" t="s">
        <v>149</v>
      </c>
      <c r="K2" s="21" t="s">
        <v>150</v>
      </c>
      <c r="L2" s="21" t="s">
        <v>151</v>
      </c>
      <c r="M2" s="22" t="s">
        <v>144</v>
      </c>
      <c r="N2" s="29" t="s">
        <v>12</v>
      </c>
      <c r="O2" s="21" t="s">
        <v>148</v>
      </c>
      <c r="P2" s="21" t="s">
        <v>149</v>
      </c>
      <c r="Q2" s="21" t="s">
        <v>150</v>
      </c>
      <c r="R2" s="21" t="s">
        <v>151</v>
      </c>
      <c r="S2" s="22" t="s">
        <v>144</v>
      </c>
      <c r="T2" s="29" t="s">
        <v>12</v>
      </c>
      <c r="U2" s="21" t="s">
        <v>148</v>
      </c>
      <c r="V2" s="21" t="s">
        <v>149</v>
      </c>
      <c r="W2" s="21" t="s">
        <v>150</v>
      </c>
      <c r="X2" s="21" t="s">
        <v>151</v>
      </c>
      <c r="Y2" s="22" t="s">
        <v>144</v>
      </c>
      <c r="Z2" s="29" t="s">
        <v>12</v>
      </c>
      <c r="AA2" s="21" t="s">
        <v>148</v>
      </c>
      <c r="AB2" s="21" t="s">
        <v>149</v>
      </c>
      <c r="AC2" s="21" t="s">
        <v>150</v>
      </c>
      <c r="AD2" s="21" t="s">
        <v>151</v>
      </c>
      <c r="AE2" s="22" t="s">
        <v>144</v>
      </c>
      <c r="AF2" s="29" t="s">
        <v>12</v>
      </c>
      <c r="AG2" s="21" t="s">
        <v>148</v>
      </c>
      <c r="AH2" s="21" t="s">
        <v>149</v>
      </c>
      <c r="AI2" s="21" t="s">
        <v>150</v>
      </c>
      <c r="AJ2" s="21" t="s">
        <v>151</v>
      </c>
      <c r="AK2" s="22" t="s">
        <v>144</v>
      </c>
      <c r="AL2" s="29" t="s">
        <v>12</v>
      </c>
      <c r="AM2" s="21" t="s">
        <v>148</v>
      </c>
      <c r="AN2" s="21" t="s">
        <v>149</v>
      </c>
      <c r="AO2" s="21" t="s">
        <v>150</v>
      </c>
      <c r="AP2" s="21" t="s">
        <v>151</v>
      </c>
      <c r="AQ2" s="22" t="s">
        <v>144</v>
      </c>
      <c r="AR2" s="29" t="s">
        <v>12</v>
      </c>
      <c r="AS2" s="21" t="s">
        <v>148</v>
      </c>
      <c r="AT2" s="21" t="s">
        <v>149</v>
      </c>
      <c r="AU2" s="21" t="s">
        <v>150</v>
      </c>
      <c r="AV2" s="21" t="s">
        <v>151</v>
      </c>
      <c r="AW2" s="22" t="s">
        <v>144</v>
      </c>
      <c r="AX2" s="29" t="s">
        <v>12</v>
      </c>
      <c r="AY2" s="21" t="s">
        <v>148</v>
      </c>
      <c r="AZ2" s="21" t="s">
        <v>149</v>
      </c>
      <c r="BA2" s="21" t="s">
        <v>150</v>
      </c>
      <c r="BB2" s="21" t="s">
        <v>151</v>
      </c>
      <c r="BC2" s="22" t="s">
        <v>144</v>
      </c>
      <c r="BD2" s="29" t="s">
        <v>12</v>
      </c>
      <c r="BE2" s="21" t="s">
        <v>148</v>
      </c>
      <c r="BF2" s="21" t="s">
        <v>149</v>
      </c>
      <c r="BG2" s="21" t="s">
        <v>150</v>
      </c>
      <c r="BH2" s="21" t="s">
        <v>151</v>
      </c>
      <c r="BI2" s="22" t="s">
        <v>144</v>
      </c>
      <c r="BJ2" s="29" t="s">
        <v>12</v>
      </c>
      <c r="BK2" s="21" t="s">
        <v>148</v>
      </c>
      <c r="BL2" s="21" t="s">
        <v>149</v>
      </c>
      <c r="BM2" s="21" t="s">
        <v>150</v>
      </c>
      <c r="BN2" s="21" t="s">
        <v>151</v>
      </c>
      <c r="BO2" s="22" t="s">
        <v>144</v>
      </c>
      <c r="BP2" s="29" t="s">
        <v>12</v>
      </c>
      <c r="BQ2" s="21" t="s">
        <v>148</v>
      </c>
      <c r="BR2" s="21" t="s">
        <v>149</v>
      </c>
      <c r="BS2" s="21" t="s">
        <v>150</v>
      </c>
      <c r="BT2" s="21" t="s">
        <v>151</v>
      </c>
      <c r="BU2" s="22" t="s">
        <v>144</v>
      </c>
      <c r="BV2" s="29" t="s">
        <v>12</v>
      </c>
      <c r="BW2" s="21" t="s">
        <v>148</v>
      </c>
      <c r="BX2" s="21" t="s">
        <v>149</v>
      </c>
      <c r="BY2" s="21" t="s">
        <v>150</v>
      </c>
      <c r="BZ2" s="21" t="s">
        <v>151</v>
      </c>
      <c r="CA2" s="22" t="s">
        <v>144</v>
      </c>
      <c r="CB2" s="29" t="s">
        <v>12</v>
      </c>
      <c r="CC2" s="21" t="s">
        <v>148</v>
      </c>
      <c r="CD2" s="21" t="s">
        <v>149</v>
      </c>
      <c r="CE2" s="21" t="s">
        <v>150</v>
      </c>
      <c r="CF2" s="21" t="s">
        <v>151</v>
      </c>
      <c r="CG2" s="22" t="s">
        <v>144</v>
      </c>
      <c r="CH2" s="29" t="s">
        <v>12</v>
      </c>
      <c r="CI2" s="21" t="s">
        <v>148</v>
      </c>
      <c r="CJ2" s="21" t="s">
        <v>149</v>
      </c>
      <c r="CK2" s="21" t="s">
        <v>150</v>
      </c>
      <c r="CL2" s="21" t="s">
        <v>151</v>
      </c>
      <c r="CM2" s="22" t="s">
        <v>144</v>
      </c>
    </row>
    <row r="3" spans="1:91" x14ac:dyDescent="0.35">
      <c r="A3" s="99" t="s">
        <v>155</v>
      </c>
      <c r="B3" s="8">
        <v>4.8615899999999997E-2</v>
      </c>
      <c r="C3" s="2">
        <v>58.730899999999998</v>
      </c>
      <c r="D3" s="2">
        <v>60.784599999999998</v>
      </c>
      <c r="E3" s="2">
        <v>20.539899999999999</v>
      </c>
      <c r="F3" s="2">
        <v>23.901249999999997</v>
      </c>
      <c r="G3" s="3">
        <v>0.96425689999999997</v>
      </c>
      <c r="H3" s="8">
        <v>9.6142199999999997E-2</v>
      </c>
      <c r="I3" s="2">
        <v>63.296500000000002</v>
      </c>
      <c r="J3" s="2">
        <v>66.225399999999993</v>
      </c>
      <c r="K3" s="2">
        <v>21.314499999999999</v>
      </c>
      <c r="L3" s="2">
        <v>23.049349999999997</v>
      </c>
      <c r="M3" s="3">
        <v>0.96699619999999997</v>
      </c>
      <c r="N3" s="8">
        <v>9.1239399999999998E-2</v>
      </c>
      <c r="O3" s="2">
        <v>64.399500000000003</v>
      </c>
      <c r="P3" s="2">
        <v>66.505600000000001</v>
      </c>
      <c r="Q3" s="2">
        <v>27.7925</v>
      </c>
      <c r="R3" s="2">
        <v>31.634287499999999</v>
      </c>
      <c r="S3" s="3">
        <v>0.98396790000000001</v>
      </c>
      <c r="T3" s="8">
        <v>2.7037100000000001E-2</v>
      </c>
      <c r="U3" s="2">
        <v>74.160799999999995</v>
      </c>
      <c r="V3" s="2">
        <v>75.1387</v>
      </c>
      <c r="W3" s="2">
        <v>25.418700000000001</v>
      </c>
      <c r="X3" s="2">
        <v>27.0438875</v>
      </c>
      <c r="Y3" s="3">
        <v>0.99053040999999997</v>
      </c>
      <c r="Z3" s="8">
        <v>7.0470699999999997E-2</v>
      </c>
      <c r="AA3" s="2">
        <v>73.245500000000007</v>
      </c>
      <c r="AB3" s="2">
        <v>75.488299999999995</v>
      </c>
      <c r="AC3" s="2">
        <v>37.764899999999997</v>
      </c>
      <c r="AD3" s="2">
        <v>39.788824999999996</v>
      </c>
      <c r="AE3" s="3">
        <v>0.99299492</v>
      </c>
      <c r="AF3" s="8">
        <v>0.163082</v>
      </c>
      <c r="AG3" s="2">
        <v>68.745999999999995</v>
      </c>
      <c r="AH3" s="2">
        <v>73.155699999999996</v>
      </c>
      <c r="AI3" s="2">
        <v>27.202999999999999</v>
      </c>
      <c r="AJ3" s="2">
        <v>30.472087500000001</v>
      </c>
      <c r="AK3" s="3">
        <v>0.98907719999999999</v>
      </c>
      <c r="AL3" s="8">
        <v>0.13874500000000001</v>
      </c>
      <c r="AM3" s="2">
        <v>67.219099999999997</v>
      </c>
      <c r="AN3" s="2">
        <v>69.714299999999994</v>
      </c>
      <c r="AO3" s="2">
        <v>22.422899999999998</v>
      </c>
      <c r="AP3" s="2">
        <v>25.936337499999997</v>
      </c>
      <c r="AQ3" s="3">
        <v>0.98791669999999998</v>
      </c>
      <c r="AR3" s="8">
        <v>0.58726199999999995</v>
      </c>
      <c r="AS3" s="2">
        <v>66.049300000000002</v>
      </c>
      <c r="AT3" s="2">
        <v>71.360900000000001</v>
      </c>
      <c r="AU3" s="2">
        <v>26.9191</v>
      </c>
      <c r="AV3" s="2">
        <v>30.015124999999998</v>
      </c>
      <c r="AW3" s="3">
        <v>0.99348608999999999</v>
      </c>
      <c r="AX3" s="8">
        <v>0.24566299999999999</v>
      </c>
      <c r="AY3" s="2">
        <v>68.4893</v>
      </c>
      <c r="AZ3" s="2">
        <v>71.017700000000005</v>
      </c>
      <c r="BA3" s="2">
        <v>20.364599999999999</v>
      </c>
      <c r="BB3" s="2">
        <v>23.9797875</v>
      </c>
      <c r="BC3" s="3">
        <v>0.99030196999999998</v>
      </c>
      <c r="BD3" s="8">
        <v>0.43330000000000002</v>
      </c>
      <c r="BE3" s="2">
        <v>58.887799999999999</v>
      </c>
      <c r="BF3" s="2">
        <v>62.846299999999999</v>
      </c>
      <c r="BG3" s="2">
        <v>19.212900000000001</v>
      </c>
      <c r="BH3" s="2">
        <v>23.374675</v>
      </c>
      <c r="BI3" s="3">
        <v>0.97497480000000003</v>
      </c>
      <c r="BJ3" s="8">
        <v>0.90445299999999995</v>
      </c>
      <c r="BK3" s="2">
        <v>63.620199999999997</v>
      </c>
      <c r="BL3" s="2">
        <v>66.596000000000004</v>
      </c>
      <c r="BM3" s="2">
        <v>22.174299999999999</v>
      </c>
      <c r="BN3" s="2">
        <v>25.048849999999998</v>
      </c>
      <c r="BO3" s="3">
        <v>0.98739880000000002</v>
      </c>
      <c r="BP3" s="8">
        <v>0.75826800000000005</v>
      </c>
      <c r="BQ3" s="2">
        <v>64.742000000000004</v>
      </c>
      <c r="BR3" s="2">
        <v>69.561300000000003</v>
      </c>
      <c r="BS3" s="2">
        <v>26.469200000000001</v>
      </c>
      <c r="BT3" s="2">
        <v>28.663487499999999</v>
      </c>
      <c r="BU3" s="3">
        <v>0.99140256000000004</v>
      </c>
      <c r="BV3" s="8">
        <f t="shared" ref="BV3:BV22" si="0">AVERAGE(T3,N3,B3,H3)</f>
        <v>6.5758650000000002E-2</v>
      </c>
      <c r="BW3" s="2">
        <f t="shared" ref="BW3:BW22" si="1">AVERAGE(U3,O3,C3,I3)</f>
        <v>65.146924999999996</v>
      </c>
      <c r="BX3" s="2">
        <f t="shared" ref="BX3:BX22" si="2">AVERAGE(V3,P3,D3,J3)</f>
        <v>67.163574999999994</v>
      </c>
      <c r="BY3" s="2">
        <f t="shared" ref="BY3:BY22" si="3">AVERAGE(W3,Q3,E3,K3)</f>
        <v>23.766400000000001</v>
      </c>
      <c r="BZ3" s="2">
        <f t="shared" ref="BZ3:BZ22" si="4">AVERAGE(X3,R3,F3,L3)</f>
        <v>26.407193749999998</v>
      </c>
      <c r="CA3" s="3">
        <f t="shared" ref="CA3:CA22" si="5">AVERAGE(Y3,S3,G3,M3)</f>
        <v>0.97643785250000004</v>
      </c>
      <c r="CB3" s="8">
        <f t="shared" ref="CB3:CB22" si="6">AVERAGE(AR3,AF3,Z3,AL3)</f>
        <v>0.23988992499999998</v>
      </c>
      <c r="CC3" s="2">
        <f t="shared" ref="CC3:CC22" si="7">AVERAGE(AS3,AG3,AA3,AM3)</f>
        <v>68.814975000000004</v>
      </c>
      <c r="CD3" s="2">
        <f t="shared" ref="CD3:CD22" si="8">AVERAGE(AT3,AH3,AB3,AN3)</f>
        <v>72.429799999999986</v>
      </c>
      <c r="CE3" s="2">
        <f t="shared" ref="CE3:CE22" si="9">AVERAGE(AU3,AI3,AC3,AO3)</f>
        <v>28.577475</v>
      </c>
      <c r="CF3" s="2">
        <f t="shared" ref="CF3:CF22" si="10">AVERAGE(AV3,AJ3,AD3,AP3)</f>
        <v>31.553093749999999</v>
      </c>
      <c r="CG3" s="3">
        <f t="shared" ref="CG3:CG22" si="11">AVERAGE(AW3,AK3,AE3,AQ3)</f>
        <v>0.99086872749999999</v>
      </c>
      <c r="CH3" s="8">
        <f t="shared" ref="CH3:CH22" si="12">AVERAGE(BD3,BJ3,BP3,AX3)</f>
        <v>0.58542099999999997</v>
      </c>
      <c r="CI3" s="2">
        <f t="shared" ref="CI3:CI22" si="13">AVERAGE(BE3,BK3,BQ3,AY3)</f>
        <v>63.934825000000004</v>
      </c>
      <c r="CJ3" s="2">
        <f t="shared" ref="CJ3:CJ22" si="14">AVERAGE(BF3,BL3,BR3,AZ3)</f>
        <v>67.505324999999999</v>
      </c>
      <c r="CK3" s="2">
        <f t="shared" ref="CK3:CK22" si="15">AVERAGE(BG3,BM3,BS3,BA3)</f>
        <v>22.055250000000001</v>
      </c>
      <c r="CL3" s="2">
        <f t="shared" ref="CL3:CL22" si="16">AVERAGE(BH3,BN3,BT3,BB3)</f>
        <v>25.2667</v>
      </c>
      <c r="CM3" s="3">
        <f t="shared" ref="CM3:CM22" si="17">AVERAGE(BI3,BO3,BU3,BC3)</f>
        <v>0.98601953250000007</v>
      </c>
    </row>
    <row r="4" spans="1:91" x14ac:dyDescent="0.35">
      <c r="A4" s="100"/>
      <c r="B4" s="7">
        <v>0.36790899999999999</v>
      </c>
      <c r="C4">
        <v>68.869799999999998</v>
      </c>
      <c r="D4">
        <v>72.054100000000005</v>
      </c>
      <c r="E4">
        <v>24.646000000000001</v>
      </c>
      <c r="F4">
        <v>27.661537500000001</v>
      </c>
      <c r="G4" s="4">
        <v>0.98788819999999999</v>
      </c>
      <c r="H4" s="7">
        <v>0.443965</v>
      </c>
      <c r="I4">
        <v>71.897400000000005</v>
      </c>
      <c r="J4">
        <v>76.287999999999997</v>
      </c>
      <c r="K4">
        <v>24.253699999999998</v>
      </c>
      <c r="L4">
        <v>25.8136625</v>
      </c>
      <c r="M4" s="4">
        <v>0.98862570000000005</v>
      </c>
      <c r="N4" s="7">
        <v>0.279947</v>
      </c>
      <c r="O4">
        <v>70.469499999999996</v>
      </c>
      <c r="P4">
        <v>73.828199999999995</v>
      </c>
      <c r="Q4">
        <v>31.853400000000001</v>
      </c>
      <c r="R4">
        <v>35.234312500000001</v>
      </c>
      <c r="S4" s="4">
        <v>0.99209966999999999</v>
      </c>
      <c r="T4" s="7">
        <v>0.151195</v>
      </c>
      <c r="U4">
        <v>80.850700000000003</v>
      </c>
      <c r="V4">
        <v>83.4786</v>
      </c>
      <c r="W4">
        <v>31.8414</v>
      </c>
      <c r="X4">
        <v>33.036262499999999</v>
      </c>
      <c r="Y4" s="4">
        <v>0.99818653000000002</v>
      </c>
      <c r="Z4" s="7">
        <v>0.30204399999999998</v>
      </c>
      <c r="AA4">
        <v>76.506299999999996</v>
      </c>
      <c r="AB4">
        <v>83.421000000000006</v>
      </c>
      <c r="AC4">
        <v>41.311399999999999</v>
      </c>
      <c r="AD4">
        <v>42.941362500000004</v>
      </c>
      <c r="AE4" s="4">
        <v>0.99714347999999997</v>
      </c>
      <c r="AF4" s="7">
        <v>0.94378099999999998</v>
      </c>
      <c r="AG4">
        <v>72.070300000000003</v>
      </c>
      <c r="AH4">
        <v>76.861000000000004</v>
      </c>
      <c r="AI4">
        <v>29.666399999999999</v>
      </c>
      <c r="AJ4">
        <v>32.691500000000005</v>
      </c>
      <c r="AK4" s="4">
        <v>0.99402215999999999</v>
      </c>
      <c r="AL4" s="7">
        <v>0.86425300000000005</v>
      </c>
      <c r="AM4">
        <v>72.956900000000005</v>
      </c>
      <c r="AN4">
        <v>76.785600000000002</v>
      </c>
      <c r="AO4">
        <v>24.442799999999998</v>
      </c>
      <c r="AP4">
        <v>28.396512499999993</v>
      </c>
      <c r="AQ4" s="4">
        <v>0.99286098</v>
      </c>
      <c r="AR4" s="7">
        <v>1.9745900000000001</v>
      </c>
      <c r="AS4">
        <v>69.633799999999994</v>
      </c>
      <c r="AT4">
        <v>76.020600000000002</v>
      </c>
      <c r="AU4">
        <v>30.8794</v>
      </c>
      <c r="AV4">
        <v>33.840712499999995</v>
      </c>
      <c r="AW4" s="4">
        <v>0.99730596000000005</v>
      </c>
      <c r="AX4" s="7">
        <v>0.86974600000000002</v>
      </c>
      <c r="AY4">
        <v>72.707099999999997</v>
      </c>
      <c r="AZ4">
        <v>76.783600000000007</v>
      </c>
      <c r="BA4">
        <v>21.951599999999999</v>
      </c>
      <c r="BB4">
        <v>25.528512500000001</v>
      </c>
      <c r="BC4" s="4">
        <v>0.99384291000000002</v>
      </c>
      <c r="BD4" s="7">
        <v>1.37782</v>
      </c>
      <c r="BE4">
        <v>62.534100000000002</v>
      </c>
      <c r="BF4">
        <v>67.028000000000006</v>
      </c>
      <c r="BG4">
        <v>20.522400000000001</v>
      </c>
      <c r="BH4">
        <v>24.585825</v>
      </c>
      <c r="BI4" s="4">
        <v>0.98306789999999999</v>
      </c>
      <c r="BJ4" s="7">
        <v>4.6067499999999999</v>
      </c>
      <c r="BK4">
        <v>67.585999999999999</v>
      </c>
      <c r="BL4">
        <v>71.908299999999997</v>
      </c>
      <c r="BM4">
        <v>24.241599999999998</v>
      </c>
      <c r="BN4">
        <v>27.146162499999996</v>
      </c>
      <c r="BO4" s="4">
        <v>0.99251354000000003</v>
      </c>
      <c r="BP4" s="7">
        <v>3.2010000000000001</v>
      </c>
      <c r="BQ4">
        <v>68.635300000000001</v>
      </c>
      <c r="BR4">
        <v>78.815700000000007</v>
      </c>
      <c r="BS4">
        <v>28.4665</v>
      </c>
      <c r="BT4">
        <v>31.3057625</v>
      </c>
      <c r="BU4" s="4">
        <v>0.99560075999999997</v>
      </c>
      <c r="BV4" s="7">
        <f t="shared" si="0"/>
        <v>0.31075399999999997</v>
      </c>
      <c r="BW4">
        <f t="shared" si="1"/>
        <v>73.021850000000001</v>
      </c>
      <c r="BX4">
        <f t="shared" si="2"/>
        <v>76.412225000000007</v>
      </c>
      <c r="BY4">
        <f t="shared" si="3"/>
        <v>28.148624999999999</v>
      </c>
      <c r="BZ4">
        <f t="shared" si="4"/>
        <v>30.436443750000002</v>
      </c>
      <c r="CA4" s="4">
        <f t="shared" si="5"/>
        <v>0.99170002499999999</v>
      </c>
      <c r="CB4" s="7">
        <f t="shared" si="6"/>
        <v>1.0211669999999999</v>
      </c>
      <c r="CC4">
        <f t="shared" si="7"/>
        <v>72.791825000000003</v>
      </c>
      <c r="CD4">
        <f t="shared" si="8"/>
        <v>78.272049999999993</v>
      </c>
      <c r="CE4">
        <f t="shared" si="9"/>
        <v>31.575000000000003</v>
      </c>
      <c r="CF4">
        <f t="shared" si="10"/>
        <v>34.467521875000003</v>
      </c>
      <c r="CG4" s="4">
        <f t="shared" si="11"/>
        <v>0.99533314500000003</v>
      </c>
      <c r="CH4" s="7">
        <f t="shared" si="12"/>
        <v>2.5138289999999999</v>
      </c>
      <c r="CI4">
        <f t="shared" si="13"/>
        <v>67.865624999999994</v>
      </c>
      <c r="CJ4">
        <f t="shared" si="14"/>
        <v>73.633900000000011</v>
      </c>
      <c r="CK4">
        <f t="shared" si="15"/>
        <v>23.795524999999998</v>
      </c>
      <c r="CL4">
        <f t="shared" si="16"/>
        <v>27.141565624999998</v>
      </c>
      <c r="CM4" s="4">
        <f t="shared" si="17"/>
        <v>0.9912562775</v>
      </c>
    </row>
    <row r="5" spans="1:91" x14ac:dyDescent="0.35">
      <c r="A5" s="100"/>
      <c r="B5" s="7">
        <v>1.1830400000000001</v>
      </c>
      <c r="C5">
        <v>73.610500000000002</v>
      </c>
      <c r="D5">
        <v>77.735299999999995</v>
      </c>
      <c r="E5">
        <v>28.640899999999998</v>
      </c>
      <c r="F5">
        <v>31.182549999999996</v>
      </c>
      <c r="G5" s="4">
        <v>0.99504802999999997</v>
      </c>
      <c r="H5" s="7">
        <v>1.4836</v>
      </c>
      <c r="I5">
        <v>73.192599999999999</v>
      </c>
      <c r="J5">
        <v>77.609700000000004</v>
      </c>
      <c r="K5">
        <v>27.4908</v>
      </c>
      <c r="L5">
        <v>29.060862499999999</v>
      </c>
      <c r="M5" s="4">
        <v>0.99467384000000003</v>
      </c>
      <c r="N5" s="7">
        <v>0.78219399999999994</v>
      </c>
      <c r="O5">
        <v>75.300399999999996</v>
      </c>
      <c r="P5">
        <v>79.656700000000001</v>
      </c>
      <c r="Q5">
        <v>36.955399999999997</v>
      </c>
      <c r="R5">
        <v>39.582562500000002</v>
      </c>
      <c r="S5" s="4">
        <v>0.99698383000000002</v>
      </c>
      <c r="T5" s="7">
        <v>0.61520600000000003</v>
      </c>
      <c r="U5">
        <v>84.437299999999993</v>
      </c>
      <c r="V5">
        <v>88.404300000000006</v>
      </c>
      <c r="W5">
        <v>39.8123</v>
      </c>
      <c r="X5">
        <v>40.488774999999997</v>
      </c>
      <c r="Y5" s="4">
        <v>0.99962145099999999</v>
      </c>
      <c r="Z5" s="7">
        <v>0.99443999999999999</v>
      </c>
      <c r="AA5">
        <v>76.958399999999997</v>
      </c>
      <c r="AB5">
        <v>85.375299999999996</v>
      </c>
      <c r="AC5">
        <v>43.7652</v>
      </c>
      <c r="AD5">
        <v>45.256437499999997</v>
      </c>
      <c r="AE5" s="4">
        <v>0.99828348</v>
      </c>
      <c r="AF5" s="7">
        <v>3.3670100000000001</v>
      </c>
      <c r="AG5">
        <v>75.400000000000006</v>
      </c>
      <c r="AH5">
        <v>81.556700000000006</v>
      </c>
      <c r="AI5">
        <v>31.677399999999999</v>
      </c>
      <c r="AJ5">
        <v>34.528512499999998</v>
      </c>
      <c r="AK5" s="4">
        <v>0.99649043999999998</v>
      </c>
      <c r="AL5" s="7">
        <v>1.6149800000000001</v>
      </c>
      <c r="AM5">
        <v>76.787800000000004</v>
      </c>
      <c r="AN5">
        <v>82.2</v>
      </c>
      <c r="AO5">
        <v>25.881599999999999</v>
      </c>
      <c r="AP5">
        <v>29.538187499999999</v>
      </c>
      <c r="AQ5" s="4">
        <v>0.99498436999999995</v>
      </c>
      <c r="AR5" s="7">
        <v>5.7267900000000003</v>
      </c>
      <c r="AS5">
        <v>74.781300000000002</v>
      </c>
      <c r="AT5">
        <v>80.851100000000002</v>
      </c>
      <c r="AU5">
        <v>31.833200000000001</v>
      </c>
      <c r="AV5">
        <v>34.765412500000004</v>
      </c>
      <c r="AW5" s="4">
        <v>0.99850804999999998</v>
      </c>
      <c r="AX5" s="7">
        <v>2.3882400000000001</v>
      </c>
      <c r="AY5">
        <v>75.9559</v>
      </c>
      <c r="AZ5">
        <v>81.683599999999998</v>
      </c>
      <c r="BA5">
        <v>23.6569</v>
      </c>
      <c r="BB5">
        <v>27.0999625</v>
      </c>
      <c r="BC5" s="4">
        <v>0.99577276999999997</v>
      </c>
      <c r="BD5" s="7">
        <v>4.7634499999999997</v>
      </c>
      <c r="BE5">
        <v>67.993499999999997</v>
      </c>
      <c r="BF5">
        <v>72.813800000000001</v>
      </c>
      <c r="BG5">
        <v>21.3948</v>
      </c>
      <c r="BH5">
        <v>25.384975000000001</v>
      </c>
      <c r="BI5" s="4">
        <v>0.98781569999999996</v>
      </c>
      <c r="BJ5" s="7">
        <v>8.9884900000000005</v>
      </c>
      <c r="BK5">
        <v>70.676100000000005</v>
      </c>
      <c r="BL5">
        <v>76.188299999999998</v>
      </c>
      <c r="BM5">
        <v>24.522400000000001</v>
      </c>
      <c r="BN5">
        <v>27.503662499999997</v>
      </c>
      <c r="BO5" s="4">
        <v>0.99432955000000001</v>
      </c>
      <c r="BP5" s="7">
        <v>5.70566</v>
      </c>
      <c r="BQ5">
        <v>69.863399999999999</v>
      </c>
      <c r="BR5">
        <v>79.193700000000007</v>
      </c>
      <c r="BS5">
        <v>28.705300000000001</v>
      </c>
      <c r="BT5">
        <v>31.474925000000002</v>
      </c>
      <c r="BU5" s="4">
        <v>0.99618178999999996</v>
      </c>
      <c r="BV5" s="7">
        <f t="shared" si="0"/>
        <v>1.0160100000000001</v>
      </c>
      <c r="BW5">
        <f t="shared" si="1"/>
        <v>76.635199999999998</v>
      </c>
      <c r="BX5">
        <f t="shared" si="2"/>
        <v>80.851500000000001</v>
      </c>
      <c r="BY5">
        <f t="shared" si="3"/>
        <v>33.224849999999996</v>
      </c>
      <c r="BZ5">
        <f t="shared" si="4"/>
        <v>35.078687500000001</v>
      </c>
      <c r="CA5" s="4">
        <f t="shared" si="5"/>
        <v>0.99658178774999995</v>
      </c>
      <c r="CB5" s="7">
        <f t="shared" si="6"/>
        <v>2.9258049999999995</v>
      </c>
      <c r="CC5">
        <f t="shared" si="7"/>
        <v>75.981875000000002</v>
      </c>
      <c r="CD5">
        <f t="shared" si="8"/>
        <v>82.495774999999995</v>
      </c>
      <c r="CE5">
        <f t="shared" si="9"/>
        <v>33.289349999999999</v>
      </c>
      <c r="CF5">
        <f t="shared" si="10"/>
        <v>36.022137499999999</v>
      </c>
      <c r="CG5" s="4">
        <f t="shared" si="11"/>
        <v>0.99706658500000001</v>
      </c>
      <c r="CH5" s="7">
        <f t="shared" si="12"/>
        <v>5.4614599999999998</v>
      </c>
      <c r="CI5">
        <f t="shared" si="13"/>
        <v>71.122225</v>
      </c>
      <c r="CJ5">
        <f t="shared" si="14"/>
        <v>77.469849999999994</v>
      </c>
      <c r="CK5">
        <f t="shared" si="15"/>
        <v>24.569850000000002</v>
      </c>
      <c r="CL5">
        <f t="shared" si="16"/>
        <v>27.865881250000001</v>
      </c>
      <c r="CM5" s="4">
        <f t="shared" si="17"/>
        <v>0.99352495249999995</v>
      </c>
    </row>
    <row r="6" spans="1:91" x14ac:dyDescent="0.35">
      <c r="A6" s="101"/>
      <c r="B6" s="9">
        <v>3.2754699999999999</v>
      </c>
      <c r="C6" s="5">
        <v>76.100499999999997</v>
      </c>
      <c r="D6" s="5">
        <v>80.425399999999996</v>
      </c>
      <c r="E6" s="5">
        <v>30.98</v>
      </c>
      <c r="F6" s="5">
        <v>33.765949999999997</v>
      </c>
      <c r="G6" s="6">
        <v>0.99743318999999997</v>
      </c>
      <c r="H6" s="9">
        <v>3.7652899999999998</v>
      </c>
      <c r="I6" s="5">
        <v>73.978700000000003</v>
      </c>
      <c r="J6" s="5">
        <v>78.398899999999998</v>
      </c>
      <c r="K6" s="5">
        <v>29.1601</v>
      </c>
      <c r="L6" s="5">
        <v>30.905649999999998</v>
      </c>
      <c r="M6" s="6">
        <v>0.99639281999999996</v>
      </c>
      <c r="N6" s="9">
        <v>1.7765599999999999</v>
      </c>
      <c r="O6" s="5">
        <v>76.529200000000003</v>
      </c>
      <c r="P6" s="5">
        <v>81.024699999999996</v>
      </c>
      <c r="Q6" s="5">
        <v>41.082299999999996</v>
      </c>
      <c r="R6" s="5">
        <v>43.706162499999991</v>
      </c>
      <c r="S6" s="6">
        <v>0.99812643999999995</v>
      </c>
      <c r="T6" s="9">
        <v>1.6436299999999999</v>
      </c>
      <c r="U6" s="5">
        <v>87.140199999999993</v>
      </c>
      <c r="V6" s="5">
        <v>91.717699999999994</v>
      </c>
      <c r="W6" s="5">
        <v>43.2181</v>
      </c>
      <c r="X6" s="5">
        <v>44.6880375</v>
      </c>
      <c r="Y6" s="6">
        <v>0.99983458199999997</v>
      </c>
      <c r="Z6" s="9">
        <v>2.0696099999999999</v>
      </c>
      <c r="AA6" s="5">
        <v>78.367500000000007</v>
      </c>
      <c r="AB6" s="5">
        <v>87.691500000000005</v>
      </c>
      <c r="AC6" s="5">
        <v>45.546999999999997</v>
      </c>
      <c r="AD6" s="5">
        <v>46.796712499999998</v>
      </c>
      <c r="AE6" s="6">
        <v>0.99916004999999997</v>
      </c>
      <c r="AF6" s="9">
        <v>5.9830300000000003</v>
      </c>
      <c r="AG6" s="5">
        <v>77.223299999999995</v>
      </c>
      <c r="AH6" s="5">
        <v>83.520899999999997</v>
      </c>
      <c r="AI6" s="5">
        <v>32.2286</v>
      </c>
      <c r="AJ6" s="5">
        <v>35.017887500000001</v>
      </c>
      <c r="AK6" s="6">
        <v>0.99715975999999995</v>
      </c>
      <c r="AL6" s="9">
        <v>3.76207</v>
      </c>
      <c r="AM6" s="5">
        <v>78.986400000000003</v>
      </c>
      <c r="AN6" s="5">
        <v>84.837400000000002</v>
      </c>
      <c r="AO6" s="5">
        <v>26.735700000000001</v>
      </c>
      <c r="AP6" s="5">
        <v>30.717849999999999</v>
      </c>
      <c r="AQ6" s="6">
        <v>0.99602376999999997</v>
      </c>
      <c r="AR6" s="9">
        <v>9.9717199999999995</v>
      </c>
      <c r="AS6" s="5">
        <v>76.834699999999998</v>
      </c>
      <c r="AT6" s="5">
        <v>82.938800000000001</v>
      </c>
      <c r="AU6" s="5">
        <v>32.453600000000002</v>
      </c>
      <c r="AV6" s="5">
        <v>35.253325000000004</v>
      </c>
      <c r="AW6" s="6">
        <v>0.99897029000000004</v>
      </c>
      <c r="AX6" s="9">
        <v>5.7138299999999997</v>
      </c>
      <c r="AY6" s="5">
        <v>77.027799999999999</v>
      </c>
      <c r="AZ6" s="5">
        <v>82.702699999999993</v>
      </c>
      <c r="BA6" s="5">
        <v>24.3217</v>
      </c>
      <c r="BB6" s="5">
        <v>27.969112500000001</v>
      </c>
      <c r="BC6" s="6">
        <v>0.99663389999999996</v>
      </c>
      <c r="BD6" s="9">
        <v>10.658099999999999</v>
      </c>
      <c r="BE6" s="5">
        <v>69.701099999999997</v>
      </c>
      <c r="BF6" s="5">
        <v>74.519800000000004</v>
      </c>
      <c r="BG6" s="5">
        <v>22.539200000000001</v>
      </c>
      <c r="BH6" s="5">
        <v>26.433025000000004</v>
      </c>
      <c r="BI6" s="6">
        <v>0.99011170000000004</v>
      </c>
      <c r="BJ6" s="9">
        <v>14.2942</v>
      </c>
      <c r="BK6" s="5">
        <v>72.046199999999999</v>
      </c>
      <c r="BL6" s="5">
        <v>78.178100000000001</v>
      </c>
      <c r="BM6" s="5">
        <v>25.665199999999999</v>
      </c>
      <c r="BN6" s="5">
        <v>28.5586375</v>
      </c>
      <c r="BO6" s="6">
        <v>0.99544518999999998</v>
      </c>
      <c r="BP6" s="9">
        <v>9.98752</v>
      </c>
      <c r="BQ6" s="5">
        <v>72.531599999999997</v>
      </c>
      <c r="BR6" s="5">
        <v>82.356399999999994</v>
      </c>
      <c r="BS6" s="5">
        <v>30.6113</v>
      </c>
      <c r="BT6" s="5">
        <v>33.393900000000002</v>
      </c>
      <c r="BU6" s="6">
        <v>0.99703850999999999</v>
      </c>
      <c r="BV6" s="9">
        <f t="shared" si="0"/>
        <v>2.6152375000000001</v>
      </c>
      <c r="BW6" s="5">
        <f t="shared" si="1"/>
        <v>78.437150000000003</v>
      </c>
      <c r="BX6" s="5">
        <f t="shared" si="2"/>
        <v>82.891674999999992</v>
      </c>
      <c r="BY6" s="5">
        <f t="shared" si="3"/>
        <v>36.110124999999996</v>
      </c>
      <c r="BZ6" s="5">
        <f t="shared" si="4"/>
        <v>38.266449999999999</v>
      </c>
      <c r="CA6" s="6">
        <f t="shared" si="5"/>
        <v>0.99794675799999999</v>
      </c>
      <c r="CB6" s="9">
        <f t="shared" si="6"/>
        <v>5.4466075000000007</v>
      </c>
      <c r="CC6" s="5">
        <f t="shared" si="7"/>
        <v>77.852975000000001</v>
      </c>
      <c r="CD6" s="5">
        <f t="shared" si="8"/>
        <v>84.747150000000005</v>
      </c>
      <c r="CE6" s="5">
        <f t="shared" si="9"/>
        <v>34.241225</v>
      </c>
      <c r="CF6" s="5">
        <f t="shared" si="10"/>
        <v>36.94644375</v>
      </c>
      <c r="CG6" s="6">
        <f t="shared" si="11"/>
        <v>0.99782846749999998</v>
      </c>
      <c r="CH6" s="9">
        <f t="shared" si="12"/>
        <v>10.1634125</v>
      </c>
      <c r="CI6" s="5">
        <f t="shared" si="13"/>
        <v>72.826674999999994</v>
      </c>
      <c r="CJ6" s="5">
        <f t="shared" si="14"/>
        <v>79.439250000000001</v>
      </c>
      <c r="CK6" s="5">
        <f t="shared" si="15"/>
        <v>25.784349999999996</v>
      </c>
      <c r="CL6" s="5">
        <f t="shared" si="16"/>
        <v>29.088668750000004</v>
      </c>
      <c r="CM6" s="6">
        <f t="shared" si="17"/>
        <v>0.99480732500000002</v>
      </c>
    </row>
    <row r="7" spans="1:91" x14ac:dyDescent="0.35">
      <c r="A7" s="99" t="s">
        <v>166</v>
      </c>
      <c r="B7" s="8">
        <v>4.9616300000000002E-2</v>
      </c>
      <c r="C7" s="2">
        <v>58.730899999999998</v>
      </c>
      <c r="D7" s="2">
        <v>60.784599999999998</v>
      </c>
      <c r="E7" s="2">
        <v>20.821000000000002</v>
      </c>
      <c r="F7" s="2">
        <v>24.335850000000004</v>
      </c>
      <c r="G7" s="3">
        <v>0.96454260000000003</v>
      </c>
      <c r="H7" s="8">
        <v>9.1390899999999997E-2</v>
      </c>
      <c r="I7" s="2">
        <v>63.296500000000002</v>
      </c>
      <c r="J7" s="2">
        <v>66.225399999999993</v>
      </c>
      <c r="K7" s="2">
        <v>21.321200000000001</v>
      </c>
      <c r="L7" s="2">
        <v>23.339024999999999</v>
      </c>
      <c r="M7" s="3">
        <v>0.96620620000000002</v>
      </c>
      <c r="N7" s="8">
        <v>7.0150199999999996E-2</v>
      </c>
      <c r="O7" s="2">
        <v>64.399500000000003</v>
      </c>
      <c r="P7" s="2">
        <v>66.505600000000001</v>
      </c>
      <c r="Q7" s="2">
        <v>27.454699999999999</v>
      </c>
      <c r="R7" s="2">
        <v>31.634837499999996</v>
      </c>
      <c r="S7" s="3">
        <v>0.98158179999999995</v>
      </c>
      <c r="T7" s="8">
        <v>3.8364099999999998E-2</v>
      </c>
      <c r="U7" s="2">
        <v>74.160799999999995</v>
      </c>
      <c r="V7" s="2">
        <v>75.1387</v>
      </c>
      <c r="W7" s="2">
        <v>27.076699999999999</v>
      </c>
      <c r="X7" s="2">
        <v>29.300824999999996</v>
      </c>
      <c r="Y7" s="3">
        <v>0.99287822000000003</v>
      </c>
      <c r="Z7" s="8">
        <v>5.93447E-2</v>
      </c>
      <c r="AA7" s="2">
        <v>73.245500000000007</v>
      </c>
      <c r="AB7" s="2">
        <v>75.488299999999995</v>
      </c>
      <c r="AC7" s="2">
        <v>37.393000000000001</v>
      </c>
      <c r="AD7" s="2">
        <v>40.271174999999999</v>
      </c>
      <c r="AE7" s="3">
        <v>0.99209007999999999</v>
      </c>
      <c r="AF7" s="8">
        <v>0.18556400000000001</v>
      </c>
      <c r="AG7" s="2">
        <v>68.746300000000005</v>
      </c>
      <c r="AH7" s="2">
        <v>73.155699999999996</v>
      </c>
      <c r="AI7" s="2">
        <v>27.496700000000001</v>
      </c>
      <c r="AJ7" s="2">
        <v>30.995912499999999</v>
      </c>
      <c r="AK7" s="3">
        <v>0.98883659999999995</v>
      </c>
      <c r="AL7" s="8">
        <v>0.11187800000000001</v>
      </c>
      <c r="AM7" s="2">
        <v>67.219099999999997</v>
      </c>
      <c r="AN7" s="2">
        <v>69.714299999999994</v>
      </c>
      <c r="AO7" s="2">
        <v>22.659300000000002</v>
      </c>
      <c r="AP7" s="2">
        <v>26.671837499999999</v>
      </c>
      <c r="AQ7" s="3">
        <v>0.9874986</v>
      </c>
      <c r="AR7" s="8">
        <v>0.42995699999999998</v>
      </c>
      <c r="AS7" s="2">
        <v>66.049300000000002</v>
      </c>
      <c r="AT7" s="2">
        <v>71.360799999999998</v>
      </c>
      <c r="AU7" s="2">
        <v>26.574400000000001</v>
      </c>
      <c r="AV7" s="2">
        <v>30.096775000000001</v>
      </c>
      <c r="AW7" s="3">
        <v>0.99304687999999997</v>
      </c>
      <c r="AX7" s="8">
        <v>0.23597199999999999</v>
      </c>
      <c r="AY7" s="2">
        <v>68.4893</v>
      </c>
      <c r="AZ7" s="2">
        <v>71.017700000000005</v>
      </c>
      <c r="BA7" s="2">
        <v>20.5124</v>
      </c>
      <c r="BB7" s="2">
        <v>24.403325000000002</v>
      </c>
      <c r="BC7" s="3">
        <v>0.99035368000000001</v>
      </c>
      <c r="BD7" s="8">
        <v>0.36093599999999998</v>
      </c>
      <c r="BE7" s="2">
        <v>58.887799999999999</v>
      </c>
      <c r="BF7" s="2">
        <v>62.846299999999999</v>
      </c>
      <c r="BG7" s="2">
        <v>19.252800000000001</v>
      </c>
      <c r="BH7" s="2">
        <v>23.579599999999999</v>
      </c>
      <c r="BI7" s="3">
        <v>0.97369110000000003</v>
      </c>
      <c r="BJ7" s="8">
        <v>0.65922800000000004</v>
      </c>
      <c r="BK7" s="2">
        <v>63.620199999999997</v>
      </c>
      <c r="BL7" s="2">
        <v>66.596000000000004</v>
      </c>
      <c r="BM7" s="2">
        <v>21.892299999999999</v>
      </c>
      <c r="BN7" s="2">
        <v>25.019574999999996</v>
      </c>
      <c r="BO7" s="3">
        <v>0.98599800000000004</v>
      </c>
      <c r="BP7" s="8">
        <v>0.89419899999999997</v>
      </c>
      <c r="BQ7" s="2">
        <v>64.742000000000004</v>
      </c>
      <c r="BR7" s="2">
        <v>69.561300000000003</v>
      </c>
      <c r="BS7" s="2">
        <v>26.946100000000001</v>
      </c>
      <c r="BT7" s="2">
        <v>29.987387500000001</v>
      </c>
      <c r="BU7" s="3">
        <v>0.99183551000000003</v>
      </c>
      <c r="BV7" s="8">
        <f t="shared" si="0"/>
        <v>6.2380375000000002E-2</v>
      </c>
      <c r="BW7" s="2">
        <f t="shared" si="1"/>
        <v>65.146924999999996</v>
      </c>
      <c r="BX7" s="2">
        <f t="shared" si="2"/>
        <v>67.163574999999994</v>
      </c>
      <c r="BY7" s="2">
        <f t="shared" si="3"/>
        <v>24.168400000000002</v>
      </c>
      <c r="BZ7" s="2">
        <f t="shared" si="4"/>
        <v>27.152634374999998</v>
      </c>
      <c r="CA7" s="3">
        <f t="shared" si="5"/>
        <v>0.97630220500000009</v>
      </c>
      <c r="CB7" s="8">
        <f t="shared" si="6"/>
        <v>0.19668592500000001</v>
      </c>
      <c r="CC7" s="2">
        <f t="shared" si="7"/>
        <v>68.815050000000014</v>
      </c>
      <c r="CD7" s="2">
        <f t="shared" si="8"/>
        <v>72.429774999999992</v>
      </c>
      <c r="CE7" s="2">
        <f t="shared" si="9"/>
        <v>28.530850000000001</v>
      </c>
      <c r="CF7" s="2">
        <f t="shared" si="10"/>
        <v>32.008924999999998</v>
      </c>
      <c r="CG7" s="3">
        <f t="shared" si="11"/>
        <v>0.99036804000000001</v>
      </c>
      <c r="CH7" s="8">
        <f t="shared" si="12"/>
        <v>0.53758375000000003</v>
      </c>
      <c r="CI7" s="2">
        <f t="shared" si="13"/>
        <v>63.934825000000004</v>
      </c>
      <c r="CJ7" s="2">
        <f t="shared" si="14"/>
        <v>67.505324999999999</v>
      </c>
      <c r="CK7" s="2">
        <f t="shared" si="15"/>
        <v>22.1509</v>
      </c>
      <c r="CL7" s="2">
        <f t="shared" si="16"/>
        <v>25.747471875000002</v>
      </c>
      <c r="CM7" s="3">
        <f t="shared" si="17"/>
        <v>0.9854695725</v>
      </c>
    </row>
    <row r="8" spans="1:91" x14ac:dyDescent="0.35">
      <c r="A8" s="100"/>
      <c r="B8" s="7">
        <v>0.31177700000000003</v>
      </c>
      <c r="C8">
        <v>68.869699999999995</v>
      </c>
      <c r="D8">
        <v>72.054000000000002</v>
      </c>
      <c r="E8">
        <v>24.7498</v>
      </c>
      <c r="F8">
        <v>28.080925000000001</v>
      </c>
      <c r="G8" s="4">
        <v>0.98736270000000004</v>
      </c>
      <c r="H8" s="7">
        <v>0.60480800000000001</v>
      </c>
      <c r="I8">
        <v>71.897400000000005</v>
      </c>
      <c r="J8">
        <v>76.287999999999997</v>
      </c>
      <c r="K8">
        <v>25.603300000000001</v>
      </c>
      <c r="L8">
        <v>27.679324999999999</v>
      </c>
      <c r="M8" s="4">
        <v>0.99117100999999996</v>
      </c>
      <c r="N8" s="7">
        <v>0.31491200000000003</v>
      </c>
      <c r="O8">
        <v>70.469399999999993</v>
      </c>
      <c r="P8">
        <v>73.828299999999999</v>
      </c>
      <c r="Q8">
        <v>32.842300000000002</v>
      </c>
      <c r="R8">
        <v>36.5544625</v>
      </c>
      <c r="S8" s="4">
        <v>0.99249394000000002</v>
      </c>
      <c r="T8" s="7">
        <v>0.176811</v>
      </c>
      <c r="U8">
        <v>80.850700000000003</v>
      </c>
      <c r="V8">
        <v>83.478499999999997</v>
      </c>
      <c r="W8">
        <v>33.132899999999999</v>
      </c>
      <c r="X8">
        <v>35.195699999999995</v>
      </c>
      <c r="Y8" s="4">
        <v>0.99832841999999999</v>
      </c>
      <c r="Z8" s="7">
        <v>0.31254399999999999</v>
      </c>
      <c r="AA8">
        <v>76.506200000000007</v>
      </c>
      <c r="AB8">
        <v>83.4208</v>
      </c>
      <c r="AC8">
        <v>41.978900000000003</v>
      </c>
      <c r="AD8">
        <v>44.182937500000001</v>
      </c>
      <c r="AE8" s="4">
        <v>0.99718030000000002</v>
      </c>
      <c r="AF8" s="7">
        <v>0.96622399999999997</v>
      </c>
      <c r="AG8">
        <v>72.073800000000006</v>
      </c>
      <c r="AH8">
        <v>76.860699999999994</v>
      </c>
      <c r="AI8">
        <v>29.933199999999999</v>
      </c>
      <c r="AJ8">
        <v>33.264712500000002</v>
      </c>
      <c r="AK8" s="4">
        <v>0.99381805999999995</v>
      </c>
      <c r="AL8" s="7">
        <v>0.62751599999999996</v>
      </c>
      <c r="AM8">
        <v>72.956900000000005</v>
      </c>
      <c r="AN8">
        <v>76.785600000000002</v>
      </c>
      <c r="AO8">
        <v>24.421199999999999</v>
      </c>
      <c r="AP8">
        <v>28.643474999999999</v>
      </c>
      <c r="AQ8" s="4">
        <v>0.99245682999999996</v>
      </c>
      <c r="AR8" s="7">
        <v>1.76241</v>
      </c>
      <c r="AS8">
        <v>69.633899999999997</v>
      </c>
      <c r="AT8">
        <v>76.020399999999995</v>
      </c>
      <c r="AU8">
        <v>30.773700000000002</v>
      </c>
      <c r="AV8">
        <v>34.111049999999999</v>
      </c>
      <c r="AW8" s="4">
        <v>0.99719239999999998</v>
      </c>
      <c r="AX8" s="7">
        <v>1.01769</v>
      </c>
      <c r="AY8">
        <v>72.707099999999997</v>
      </c>
      <c r="AZ8">
        <v>76.783600000000007</v>
      </c>
      <c r="BA8">
        <v>22.4679</v>
      </c>
      <c r="BB8">
        <v>26.424824999999998</v>
      </c>
      <c r="BC8" s="4">
        <v>0.99415547999999998</v>
      </c>
      <c r="BD8" s="7">
        <v>1.6837500000000001</v>
      </c>
      <c r="BE8">
        <v>62.534100000000002</v>
      </c>
      <c r="BF8">
        <v>67.028000000000006</v>
      </c>
      <c r="BG8">
        <v>21.0106</v>
      </c>
      <c r="BH8">
        <v>25.150874999999999</v>
      </c>
      <c r="BI8" s="4">
        <v>0.9840411</v>
      </c>
      <c r="BJ8" s="7">
        <v>5.2171500000000002</v>
      </c>
      <c r="BK8">
        <v>67.585999999999999</v>
      </c>
      <c r="BL8">
        <v>71.908299999999997</v>
      </c>
      <c r="BM8">
        <v>24.625900000000001</v>
      </c>
      <c r="BN8">
        <v>27.908462499999999</v>
      </c>
      <c r="BO8" s="4">
        <v>0.99269240000000003</v>
      </c>
      <c r="BP8" s="7">
        <v>2.42035</v>
      </c>
      <c r="BQ8">
        <v>68.635300000000001</v>
      </c>
      <c r="BR8">
        <v>78.815700000000007</v>
      </c>
      <c r="BS8">
        <v>28.2532</v>
      </c>
      <c r="BT8">
        <v>31.510512500000004</v>
      </c>
      <c r="BU8" s="4">
        <v>0.99518220000000002</v>
      </c>
      <c r="BV8" s="7">
        <f t="shared" si="0"/>
        <v>0.35207700000000003</v>
      </c>
      <c r="BW8">
        <f t="shared" si="1"/>
        <v>73.021799999999999</v>
      </c>
      <c r="BX8">
        <f t="shared" si="2"/>
        <v>76.412199999999999</v>
      </c>
      <c r="BY8">
        <f t="shared" si="3"/>
        <v>29.082075</v>
      </c>
      <c r="BZ8">
        <f t="shared" si="4"/>
        <v>31.877603125</v>
      </c>
      <c r="CA8" s="4">
        <f t="shared" si="5"/>
        <v>0.99233901750000009</v>
      </c>
      <c r="CB8" s="7">
        <f t="shared" si="6"/>
        <v>0.91717349999999997</v>
      </c>
      <c r="CC8">
        <f t="shared" si="7"/>
        <v>72.792699999999996</v>
      </c>
      <c r="CD8">
        <f t="shared" si="8"/>
        <v>78.271874999999994</v>
      </c>
      <c r="CE8">
        <f t="shared" si="9"/>
        <v>31.77675</v>
      </c>
      <c r="CF8">
        <f t="shared" si="10"/>
        <v>35.050543750000003</v>
      </c>
      <c r="CG8" s="4">
        <f t="shared" si="11"/>
        <v>0.99516189750000006</v>
      </c>
      <c r="CH8" s="7">
        <f t="shared" si="12"/>
        <v>2.5847349999999998</v>
      </c>
      <c r="CI8">
        <f t="shared" si="13"/>
        <v>67.865624999999994</v>
      </c>
      <c r="CJ8">
        <f t="shared" si="14"/>
        <v>73.633900000000011</v>
      </c>
      <c r="CK8">
        <f t="shared" si="15"/>
        <v>24.089400000000001</v>
      </c>
      <c r="CL8">
        <f t="shared" si="16"/>
        <v>27.74866875</v>
      </c>
      <c r="CM8" s="4">
        <f t="shared" si="17"/>
        <v>0.99151779499999992</v>
      </c>
    </row>
    <row r="9" spans="1:91" x14ac:dyDescent="0.35">
      <c r="A9" s="100"/>
      <c r="B9" s="7">
        <v>0.94779000000000002</v>
      </c>
      <c r="C9">
        <v>73.610500000000002</v>
      </c>
      <c r="D9">
        <v>77.735299999999995</v>
      </c>
      <c r="E9">
        <v>28.931899999999999</v>
      </c>
      <c r="F9">
        <v>31.839275000000001</v>
      </c>
      <c r="G9" s="4">
        <v>0.99458270000000004</v>
      </c>
      <c r="H9" s="7">
        <v>1.95333</v>
      </c>
      <c r="I9">
        <v>73.192599999999999</v>
      </c>
      <c r="J9">
        <v>77.609700000000004</v>
      </c>
      <c r="K9">
        <v>28.9666</v>
      </c>
      <c r="L9">
        <v>30.964987499999999</v>
      </c>
      <c r="M9" s="4">
        <v>0.99556054999999999</v>
      </c>
      <c r="N9" s="7">
        <v>0.78175300000000003</v>
      </c>
      <c r="O9">
        <v>75.300399999999996</v>
      </c>
      <c r="P9">
        <v>79.656700000000001</v>
      </c>
      <c r="Q9">
        <v>37.6633</v>
      </c>
      <c r="R9">
        <v>40.675600000000003</v>
      </c>
      <c r="S9" s="4">
        <v>0.99691953</v>
      </c>
      <c r="T9" s="7">
        <v>0.59807500000000002</v>
      </c>
      <c r="U9">
        <v>84.437299999999993</v>
      </c>
      <c r="V9">
        <v>88.404300000000006</v>
      </c>
      <c r="W9">
        <v>39.880699999999997</v>
      </c>
      <c r="X9">
        <v>41.555324999999996</v>
      </c>
      <c r="Y9" s="4">
        <v>0.99956146000000001</v>
      </c>
      <c r="Z9" s="7">
        <v>0.83702699999999997</v>
      </c>
      <c r="AA9">
        <v>76.958399999999997</v>
      </c>
      <c r="AB9">
        <v>85.375200000000007</v>
      </c>
      <c r="AC9">
        <v>42.016300000000001</v>
      </c>
      <c r="AD9">
        <v>44.203512500000002</v>
      </c>
      <c r="AE9" s="4">
        <v>0.99759790000000004</v>
      </c>
      <c r="AF9" s="7">
        <v>3.0266799999999998</v>
      </c>
      <c r="AG9">
        <v>75.400000000000006</v>
      </c>
      <c r="AH9">
        <v>81.556700000000006</v>
      </c>
      <c r="AI9">
        <v>32.093400000000003</v>
      </c>
      <c r="AJ9">
        <v>35.17595</v>
      </c>
      <c r="AK9" s="4">
        <v>0.99618865000000001</v>
      </c>
      <c r="AL9" s="7">
        <v>1.65516</v>
      </c>
      <c r="AM9">
        <v>76.787800000000004</v>
      </c>
      <c r="AN9">
        <v>82.2</v>
      </c>
      <c r="AO9">
        <v>26.396899999999999</v>
      </c>
      <c r="AP9">
        <v>30.560299999999998</v>
      </c>
      <c r="AQ9" s="4">
        <v>0.99511258999999996</v>
      </c>
      <c r="AR9" s="7">
        <v>5.5041399999999996</v>
      </c>
      <c r="AS9">
        <v>74.781300000000002</v>
      </c>
      <c r="AT9">
        <v>80.851100000000002</v>
      </c>
      <c r="AU9">
        <v>31.976700000000001</v>
      </c>
      <c r="AV9">
        <v>35.377750000000006</v>
      </c>
      <c r="AW9" s="4">
        <v>0.99843948000000005</v>
      </c>
      <c r="AX9" s="7">
        <v>2.8344499999999999</v>
      </c>
      <c r="AY9">
        <v>75.9559</v>
      </c>
      <c r="AZ9">
        <v>81.683599999999998</v>
      </c>
      <c r="BA9">
        <v>24.264099999999999</v>
      </c>
      <c r="BB9">
        <v>28.086275000000001</v>
      </c>
      <c r="BC9" s="4">
        <v>0.99600938000000006</v>
      </c>
      <c r="BD9" s="7">
        <v>4.6266800000000003</v>
      </c>
      <c r="BE9">
        <v>67.993499999999997</v>
      </c>
      <c r="BF9">
        <v>72.813800000000001</v>
      </c>
      <c r="BG9">
        <v>21.703800000000001</v>
      </c>
      <c r="BH9">
        <v>25.816987500000003</v>
      </c>
      <c r="BI9" s="4">
        <v>0.98788799999999999</v>
      </c>
      <c r="BJ9" s="7">
        <v>8.8587799999999994</v>
      </c>
      <c r="BK9">
        <v>70.676299999999998</v>
      </c>
      <c r="BL9">
        <v>76.188999999999993</v>
      </c>
      <c r="BM9">
        <v>24.902799999999999</v>
      </c>
      <c r="BN9">
        <v>28.184074999999996</v>
      </c>
      <c r="BO9" s="4">
        <v>0.99452231999999996</v>
      </c>
      <c r="BP9" s="7">
        <v>4.9789399999999997</v>
      </c>
      <c r="BQ9">
        <v>69.863399999999999</v>
      </c>
      <c r="BR9">
        <v>79.193700000000007</v>
      </c>
      <c r="BS9">
        <v>28.4893</v>
      </c>
      <c r="BT9">
        <v>31.749600000000001</v>
      </c>
      <c r="BU9" s="4">
        <v>0.99578266999999998</v>
      </c>
      <c r="BV9" s="7">
        <f t="shared" si="0"/>
        <v>1.0702370000000001</v>
      </c>
      <c r="BW9">
        <f t="shared" si="1"/>
        <v>76.635199999999998</v>
      </c>
      <c r="BX9">
        <f t="shared" si="2"/>
        <v>80.851500000000001</v>
      </c>
      <c r="BY9">
        <f t="shared" si="3"/>
        <v>33.860624999999999</v>
      </c>
      <c r="BZ9">
        <f t="shared" si="4"/>
        <v>36.258796875000002</v>
      </c>
      <c r="CA9" s="4">
        <f t="shared" si="5"/>
        <v>0.99665605999999995</v>
      </c>
      <c r="CB9" s="7">
        <f t="shared" si="6"/>
        <v>2.7557517499999995</v>
      </c>
      <c r="CC9">
        <f t="shared" si="7"/>
        <v>75.981875000000002</v>
      </c>
      <c r="CD9">
        <f t="shared" si="8"/>
        <v>82.495750000000001</v>
      </c>
      <c r="CE9">
        <f t="shared" si="9"/>
        <v>33.120824999999996</v>
      </c>
      <c r="CF9">
        <f t="shared" si="10"/>
        <v>36.329378125000005</v>
      </c>
      <c r="CG9" s="4">
        <f t="shared" si="11"/>
        <v>0.99683465500000001</v>
      </c>
      <c r="CH9" s="7">
        <f t="shared" si="12"/>
        <v>5.3247124999999995</v>
      </c>
      <c r="CI9">
        <f t="shared" si="13"/>
        <v>71.122275000000002</v>
      </c>
      <c r="CJ9">
        <f t="shared" si="14"/>
        <v>77.470024999999993</v>
      </c>
      <c r="CK9">
        <f t="shared" si="15"/>
        <v>24.84</v>
      </c>
      <c r="CL9">
        <f t="shared" si="16"/>
        <v>28.459234375000001</v>
      </c>
      <c r="CM9" s="4">
        <f t="shared" si="17"/>
        <v>0.99355059250000011</v>
      </c>
    </row>
    <row r="10" spans="1:91" x14ac:dyDescent="0.35">
      <c r="A10" s="101"/>
      <c r="B10" s="9">
        <v>2.9091999999999998</v>
      </c>
      <c r="C10" s="5">
        <v>76.100499999999997</v>
      </c>
      <c r="D10" s="5">
        <v>80.425399999999996</v>
      </c>
      <c r="E10" s="5">
        <v>32.008499999999998</v>
      </c>
      <c r="F10" s="5">
        <v>34.964337499999999</v>
      </c>
      <c r="G10" s="6">
        <v>0.99747702000000005</v>
      </c>
      <c r="H10" s="9">
        <v>3.3971</v>
      </c>
      <c r="I10" s="5">
        <v>73.978700000000003</v>
      </c>
      <c r="J10" s="5">
        <v>78.398899999999998</v>
      </c>
      <c r="K10" s="5">
        <v>29.993200000000002</v>
      </c>
      <c r="L10" s="5">
        <v>32.068249999999999</v>
      </c>
      <c r="M10" s="6">
        <v>0.99667121999999997</v>
      </c>
      <c r="N10" s="9">
        <v>1.3149200000000001</v>
      </c>
      <c r="O10" s="5">
        <v>76.529200000000003</v>
      </c>
      <c r="P10" s="5">
        <v>81.024699999999996</v>
      </c>
      <c r="Q10" s="5">
        <v>40.278799999999997</v>
      </c>
      <c r="R10" s="5">
        <v>42.981349999999999</v>
      </c>
      <c r="S10" s="6">
        <v>0.99793091</v>
      </c>
      <c r="T10" s="9">
        <v>1.19798</v>
      </c>
      <c r="U10" s="5">
        <v>87.140199999999993</v>
      </c>
      <c r="V10" s="5">
        <v>91.717699999999994</v>
      </c>
      <c r="W10" s="5">
        <v>42.523899999999998</v>
      </c>
      <c r="X10" s="5">
        <v>44.005387499999998</v>
      </c>
      <c r="Y10" s="6">
        <v>0.99976464600000003</v>
      </c>
      <c r="Z10" s="9">
        <v>1.90761</v>
      </c>
      <c r="AA10" s="5">
        <v>78.367500000000007</v>
      </c>
      <c r="AB10" s="5">
        <v>87.691500000000005</v>
      </c>
      <c r="AC10" s="5">
        <v>44.9983</v>
      </c>
      <c r="AD10" s="5">
        <v>46.939250000000001</v>
      </c>
      <c r="AE10" s="6">
        <v>0.99901074099999998</v>
      </c>
      <c r="AF10" s="9">
        <v>6.6220299999999996</v>
      </c>
      <c r="AG10" s="5">
        <v>77.223299999999995</v>
      </c>
      <c r="AH10" s="5">
        <v>83.520899999999997</v>
      </c>
      <c r="AI10" s="5">
        <v>33.488199999999999</v>
      </c>
      <c r="AJ10" s="5">
        <v>36.473962499999999</v>
      </c>
      <c r="AK10" s="6">
        <v>0.99733267000000003</v>
      </c>
      <c r="AL10" s="9">
        <v>3.5211899999999998</v>
      </c>
      <c r="AM10" s="5">
        <v>78.9863</v>
      </c>
      <c r="AN10" s="5">
        <v>84.837299999999999</v>
      </c>
      <c r="AO10" s="5">
        <v>26.933</v>
      </c>
      <c r="AP10" s="5">
        <v>31.238300000000002</v>
      </c>
      <c r="AQ10" s="6">
        <v>0.99601899000000005</v>
      </c>
      <c r="AR10" s="9">
        <v>9.5230300000000003</v>
      </c>
      <c r="AS10" s="5">
        <v>76.834699999999998</v>
      </c>
      <c r="AT10" s="5">
        <v>82.938800000000001</v>
      </c>
      <c r="AU10" s="5">
        <v>32.810099999999998</v>
      </c>
      <c r="AV10" s="5">
        <v>36.032037500000001</v>
      </c>
      <c r="AW10" s="6">
        <v>0.99892349000000003</v>
      </c>
      <c r="AX10" s="9">
        <v>5.96394</v>
      </c>
      <c r="AY10" s="5">
        <v>77.027799999999999</v>
      </c>
      <c r="AZ10" s="5">
        <v>82.702699999999993</v>
      </c>
      <c r="BA10" s="5">
        <v>24.780200000000001</v>
      </c>
      <c r="BB10" s="5">
        <v>28.637599999999999</v>
      </c>
      <c r="BC10" s="6">
        <v>0.99676072000000004</v>
      </c>
      <c r="BD10" s="9">
        <v>9.3907900000000009</v>
      </c>
      <c r="BE10" s="5">
        <v>69.701099999999997</v>
      </c>
      <c r="BF10" s="5">
        <v>74.519800000000004</v>
      </c>
      <c r="BG10" s="5">
        <v>22.7713</v>
      </c>
      <c r="BH10" s="5">
        <v>26.769100000000002</v>
      </c>
      <c r="BI10" s="6">
        <v>0.99016393999999996</v>
      </c>
      <c r="BJ10" s="9">
        <v>15.114599999999999</v>
      </c>
      <c r="BK10" s="5">
        <v>72.046199999999999</v>
      </c>
      <c r="BL10" s="5">
        <v>78.178100000000001</v>
      </c>
      <c r="BM10" s="5">
        <v>26.192499999999999</v>
      </c>
      <c r="BN10" s="5">
        <v>29.471299999999999</v>
      </c>
      <c r="BO10" s="6">
        <v>0.99558705999999997</v>
      </c>
      <c r="BP10" s="9">
        <v>9.2848400000000009</v>
      </c>
      <c r="BQ10" s="5">
        <v>72.531599999999997</v>
      </c>
      <c r="BR10" s="5">
        <v>82.356399999999994</v>
      </c>
      <c r="BS10" s="5">
        <v>30.845099999999999</v>
      </c>
      <c r="BT10" s="5">
        <v>34.1777625</v>
      </c>
      <c r="BU10" s="6">
        <v>0.99696702000000004</v>
      </c>
      <c r="BV10" s="9">
        <f t="shared" si="0"/>
        <v>2.2048000000000001</v>
      </c>
      <c r="BW10" s="5">
        <f t="shared" si="1"/>
        <v>78.437150000000003</v>
      </c>
      <c r="BX10" s="5">
        <f t="shared" si="2"/>
        <v>82.891674999999992</v>
      </c>
      <c r="BY10" s="5">
        <f t="shared" si="3"/>
        <v>36.201099999999997</v>
      </c>
      <c r="BZ10" s="5">
        <f t="shared" si="4"/>
        <v>38.504831250000002</v>
      </c>
      <c r="CA10" s="6">
        <f t="shared" si="5"/>
        <v>0.99796094899999999</v>
      </c>
      <c r="CB10" s="9">
        <f t="shared" si="6"/>
        <v>5.393465</v>
      </c>
      <c r="CC10" s="5">
        <f t="shared" si="7"/>
        <v>77.852949999999993</v>
      </c>
      <c r="CD10" s="5">
        <f t="shared" si="8"/>
        <v>84.747125000000011</v>
      </c>
      <c r="CE10" s="5">
        <f t="shared" si="9"/>
        <v>34.557400000000001</v>
      </c>
      <c r="CF10" s="5">
        <f t="shared" si="10"/>
        <v>37.670887499999999</v>
      </c>
      <c r="CG10" s="6">
        <f t="shared" si="11"/>
        <v>0.99782147274999999</v>
      </c>
      <c r="CH10" s="9">
        <f t="shared" si="12"/>
        <v>9.9385425000000005</v>
      </c>
      <c r="CI10" s="5">
        <f t="shared" si="13"/>
        <v>72.826674999999994</v>
      </c>
      <c r="CJ10" s="5">
        <f t="shared" si="14"/>
        <v>79.439250000000001</v>
      </c>
      <c r="CK10" s="5">
        <f t="shared" si="15"/>
        <v>26.147275</v>
      </c>
      <c r="CL10" s="5">
        <f t="shared" si="16"/>
        <v>29.763940624999996</v>
      </c>
      <c r="CM10" s="6">
        <f t="shared" si="17"/>
        <v>0.99486968500000006</v>
      </c>
    </row>
    <row r="11" spans="1:91" x14ac:dyDescent="0.35">
      <c r="A11" s="97" t="s">
        <v>154</v>
      </c>
      <c r="B11" s="7">
        <v>2.0615999999999999E-2</v>
      </c>
      <c r="C11">
        <v>52.777700000000003</v>
      </c>
      <c r="D11">
        <v>56.592599999999997</v>
      </c>
      <c r="E11">
        <v>18.104099999999999</v>
      </c>
      <c r="F11">
        <v>21.673300000000001</v>
      </c>
      <c r="G11" s="4">
        <v>0.90536799999999995</v>
      </c>
      <c r="H11" s="7">
        <v>2.4355999999999999E-2</v>
      </c>
      <c r="I11">
        <v>52.802799999999998</v>
      </c>
      <c r="J11">
        <v>56.707900000000002</v>
      </c>
      <c r="K11">
        <v>19.297899999999998</v>
      </c>
      <c r="L11">
        <v>21.272130000000001</v>
      </c>
      <c r="M11" s="4">
        <v>0.91471499999999994</v>
      </c>
      <c r="N11" s="7">
        <v>2.3969000000000001E-2</v>
      </c>
      <c r="O11">
        <v>52.799300000000002</v>
      </c>
      <c r="P11">
        <v>55.9739</v>
      </c>
      <c r="Q11">
        <v>22.827100000000002</v>
      </c>
      <c r="R11">
        <v>27.08239</v>
      </c>
      <c r="S11" s="4">
        <v>0.93141600000000002</v>
      </c>
      <c r="T11" s="7">
        <v>2.359E-3</v>
      </c>
      <c r="U11">
        <v>52.946800000000003</v>
      </c>
      <c r="V11">
        <v>55.1205</v>
      </c>
      <c r="W11">
        <v>21.5547</v>
      </c>
      <c r="X11">
        <v>22.89836</v>
      </c>
      <c r="Y11" s="4">
        <v>0.93725599999999998</v>
      </c>
      <c r="Z11" s="7">
        <v>6.0920000000000002E-3</v>
      </c>
      <c r="AA11">
        <v>52.927199999999999</v>
      </c>
      <c r="AB11">
        <v>54.813899999999997</v>
      </c>
      <c r="AC11">
        <v>25.7196</v>
      </c>
      <c r="AD11">
        <v>28.580349999999999</v>
      </c>
      <c r="AE11" s="4">
        <v>0.96054700000000004</v>
      </c>
      <c r="AF11" s="7">
        <v>7.7629999999999999E-3</v>
      </c>
      <c r="AG11">
        <v>52.921999999999997</v>
      </c>
      <c r="AH11">
        <v>56.801200000000001</v>
      </c>
      <c r="AI11">
        <v>19.8965</v>
      </c>
      <c r="AJ11">
        <v>23.722359999999998</v>
      </c>
      <c r="AK11" s="4">
        <v>0.93014600000000003</v>
      </c>
      <c r="AL11" s="7">
        <v>4.9709999999999997E-3</v>
      </c>
      <c r="AM11">
        <v>52.835700000000003</v>
      </c>
      <c r="AN11">
        <v>56.701900000000002</v>
      </c>
      <c r="AO11">
        <v>18.238900000000001</v>
      </c>
      <c r="AP11">
        <v>21.531040000000001</v>
      </c>
      <c r="AQ11" s="4">
        <v>0.90958799999999995</v>
      </c>
      <c r="AR11" s="7">
        <v>2.1613E-2</v>
      </c>
      <c r="AS11">
        <v>52.928100000000001</v>
      </c>
      <c r="AT11">
        <v>56.4467</v>
      </c>
      <c r="AU11">
        <v>16.609300000000001</v>
      </c>
      <c r="AV11">
        <v>21.317160000000001</v>
      </c>
      <c r="AW11" s="4">
        <v>0.86205299999999996</v>
      </c>
      <c r="AX11" s="7">
        <v>4.4190000000000002E-3</v>
      </c>
      <c r="AY11">
        <v>53.268799999999999</v>
      </c>
      <c r="AZ11">
        <v>58.840499999999999</v>
      </c>
      <c r="BA11">
        <v>15.202999999999999</v>
      </c>
      <c r="BB11">
        <v>19.593240000000002</v>
      </c>
      <c r="BC11" s="4">
        <v>0.83687599999999995</v>
      </c>
      <c r="BD11" s="7">
        <v>7.0100999999999997E-2</v>
      </c>
      <c r="BE11">
        <v>52.947499999999998</v>
      </c>
      <c r="BF11">
        <v>58.539900000000003</v>
      </c>
      <c r="BG11">
        <v>17.0336</v>
      </c>
      <c r="BH11">
        <v>21.073799999999999</v>
      </c>
      <c r="BI11" s="4">
        <v>0.89651099999999995</v>
      </c>
      <c r="BJ11" s="7">
        <v>4.3198E-2</v>
      </c>
      <c r="BK11">
        <v>52.933199999999999</v>
      </c>
      <c r="BL11">
        <v>57.259500000000003</v>
      </c>
      <c r="BM11">
        <v>16.976400000000002</v>
      </c>
      <c r="BN11">
        <v>20.168900000000001</v>
      </c>
      <c r="BO11" s="4">
        <v>0.88198600000000005</v>
      </c>
      <c r="BP11" s="7">
        <v>2.1992999999999999E-2</v>
      </c>
      <c r="BQ11">
        <v>53.705800000000004</v>
      </c>
      <c r="BR11">
        <v>58.351900000000001</v>
      </c>
      <c r="BS11">
        <v>18.688500000000001</v>
      </c>
      <c r="BT11">
        <v>21.441780000000001</v>
      </c>
      <c r="BU11" s="4">
        <v>0.90568199999999999</v>
      </c>
      <c r="BV11" s="7">
        <f t="shared" si="0"/>
        <v>1.7825000000000001E-2</v>
      </c>
      <c r="BW11">
        <f t="shared" si="1"/>
        <v>52.831650000000003</v>
      </c>
      <c r="BX11">
        <f t="shared" si="2"/>
        <v>56.098725000000002</v>
      </c>
      <c r="BY11">
        <f t="shared" si="3"/>
        <v>20.44595</v>
      </c>
      <c r="BZ11">
        <f t="shared" si="4"/>
        <v>23.231545000000001</v>
      </c>
      <c r="CA11" s="4">
        <f t="shared" si="5"/>
        <v>0.92218875000000011</v>
      </c>
      <c r="CB11" s="7">
        <f t="shared" si="6"/>
        <v>1.0109750000000001E-2</v>
      </c>
      <c r="CC11">
        <f t="shared" si="7"/>
        <v>52.90325</v>
      </c>
      <c r="CD11">
        <f t="shared" si="8"/>
        <v>56.190925</v>
      </c>
      <c r="CE11">
        <f t="shared" si="9"/>
        <v>20.116075000000002</v>
      </c>
      <c r="CF11">
        <f t="shared" si="10"/>
        <v>23.787727499999999</v>
      </c>
      <c r="CG11" s="4">
        <f t="shared" si="11"/>
        <v>0.91558349999999999</v>
      </c>
      <c r="CH11" s="7">
        <f t="shared" si="12"/>
        <v>3.492775E-2</v>
      </c>
      <c r="CI11">
        <f t="shared" si="13"/>
        <v>53.213825</v>
      </c>
      <c r="CJ11">
        <f t="shared" si="14"/>
        <v>58.247949999999996</v>
      </c>
      <c r="CK11">
        <f t="shared" si="15"/>
        <v>16.975375000000003</v>
      </c>
      <c r="CL11">
        <f t="shared" si="16"/>
        <v>20.569430000000001</v>
      </c>
      <c r="CM11" s="4">
        <f t="shared" si="17"/>
        <v>0.8802637499999999</v>
      </c>
    </row>
    <row r="12" spans="1:91" x14ac:dyDescent="0.35">
      <c r="A12" s="97"/>
      <c r="B12" s="7">
        <v>7.6858999999999997E-2</v>
      </c>
      <c r="C12">
        <v>58.441200000000002</v>
      </c>
      <c r="D12">
        <v>63.193800000000003</v>
      </c>
      <c r="E12">
        <v>20.9436</v>
      </c>
      <c r="F12">
        <v>24.31</v>
      </c>
      <c r="G12" s="4">
        <v>0.96777400000000002</v>
      </c>
      <c r="H12" s="7">
        <v>9.2948000000000003E-2</v>
      </c>
      <c r="I12">
        <v>58.439799999999998</v>
      </c>
      <c r="J12">
        <v>63.4</v>
      </c>
      <c r="K12">
        <v>21.395800000000001</v>
      </c>
      <c r="L12">
        <v>23.53548</v>
      </c>
      <c r="M12" s="4">
        <v>0.96797500000000003</v>
      </c>
      <c r="N12" s="7">
        <v>8.0132999999999996E-2</v>
      </c>
      <c r="O12">
        <v>58.431199999999997</v>
      </c>
      <c r="P12">
        <v>62.639299999999999</v>
      </c>
      <c r="Q12">
        <v>25.668099999999999</v>
      </c>
      <c r="R12">
        <v>29.715330000000002</v>
      </c>
      <c r="S12" s="4">
        <v>0.97477199999999997</v>
      </c>
      <c r="T12" s="7">
        <v>7.8329999999999997E-3</v>
      </c>
      <c r="U12">
        <v>58.908099999999997</v>
      </c>
      <c r="V12">
        <v>61.260399999999997</v>
      </c>
      <c r="W12">
        <v>23.278400000000001</v>
      </c>
      <c r="X12">
        <v>24.97071</v>
      </c>
      <c r="Y12" s="4">
        <v>0.97118199999999999</v>
      </c>
      <c r="Z12" s="7">
        <v>1.9446000000000001E-2</v>
      </c>
      <c r="AA12">
        <v>58.9011</v>
      </c>
      <c r="AB12">
        <v>61.107399999999998</v>
      </c>
      <c r="AC12">
        <v>29.216999999999999</v>
      </c>
      <c r="AD12">
        <v>32.265529999999998</v>
      </c>
      <c r="AE12" s="4">
        <v>0.97784800000000005</v>
      </c>
      <c r="AF12" s="7">
        <v>3.2467000000000003E-2</v>
      </c>
      <c r="AG12">
        <v>58.925199999999997</v>
      </c>
      <c r="AH12">
        <v>63.095599999999997</v>
      </c>
      <c r="AI12">
        <v>23.0763</v>
      </c>
      <c r="AJ12">
        <v>26.57339</v>
      </c>
      <c r="AK12" s="4">
        <v>0.97335499999999997</v>
      </c>
      <c r="AL12" s="7">
        <v>1.8891999999999999E-2</v>
      </c>
      <c r="AM12">
        <v>58.746899999999997</v>
      </c>
      <c r="AN12">
        <v>62.957599999999999</v>
      </c>
      <c r="AO12">
        <v>19.816099999999999</v>
      </c>
      <c r="AP12">
        <v>23.440439999999999</v>
      </c>
      <c r="AQ12" s="4">
        <v>0.965669</v>
      </c>
      <c r="AR12" s="7">
        <v>9.4546000000000005E-2</v>
      </c>
      <c r="AS12">
        <v>58.916899999999998</v>
      </c>
      <c r="AT12">
        <v>62.709699999999998</v>
      </c>
      <c r="AU12">
        <v>19.266100000000002</v>
      </c>
      <c r="AV12">
        <v>23.488489999999999</v>
      </c>
      <c r="AW12" s="4">
        <v>0.96307299999999996</v>
      </c>
      <c r="AX12" s="7">
        <v>2.0875999999999999E-2</v>
      </c>
      <c r="AY12">
        <v>59.0867</v>
      </c>
      <c r="AZ12">
        <v>64.398099999999999</v>
      </c>
      <c r="BA12">
        <v>16.911799999999999</v>
      </c>
      <c r="BB12">
        <v>21.069780000000002</v>
      </c>
      <c r="BC12" s="4">
        <v>0.94550500000000004</v>
      </c>
      <c r="BD12" s="7">
        <v>0.36083399999999999</v>
      </c>
      <c r="BE12">
        <v>58.923900000000003</v>
      </c>
      <c r="BF12">
        <v>64.319000000000003</v>
      </c>
      <c r="BG12">
        <v>18.5991</v>
      </c>
      <c r="BH12">
        <v>22.656690000000001</v>
      </c>
      <c r="BI12" s="4">
        <v>0.96232700000000004</v>
      </c>
      <c r="BJ12" s="7">
        <v>0.20991499999999999</v>
      </c>
      <c r="BK12">
        <v>58.9221</v>
      </c>
      <c r="BL12">
        <v>63.4925</v>
      </c>
      <c r="BM12">
        <v>19.020199999999999</v>
      </c>
      <c r="BN12">
        <v>22.197140000000001</v>
      </c>
      <c r="BO12" s="4">
        <v>0.96479199999999998</v>
      </c>
      <c r="BP12" s="7">
        <v>0.100975</v>
      </c>
      <c r="BQ12">
        <v>59.457299999999996</v>
      </c>
      <c r="BR12">
        <v>63.880899999999997</v>
      </c>
      <c r="BS12">
        <v>22.083100000000002</v>
      </c>
      <c r="BT12">
        <v>24.722480000000001</v>
      </c>
      <c r="BU12" s="4">
        <v>0.97449399999999997</v>
      </c>
      <c r="BV12" s="7">
        <f t="shared" si="0"/>
        <v>6.4443250000000007E-2</v>
      </c>
      <c r="BW12">
        <f t="shared" si="1"/>
        <v>58.555074999999995</v>
      </c>
      <c r="BX12">
        <f t="shared" si="2"/>
        <v>62.623375000000003</v>
      </c>
      <c r="BY12">
        <f t="shared" si="3"/>
        <v>22.821475</v>
      </c>
      <c r="BZ12">
        <f t="shared" si="4"/>
        <v>25.63288</v>
      </c>
      <c r="CA12" s="4">
        <f t="shared" si="5"/>
        <v>0.97042574999999998</v>
      </c>
      <c r="CB12" s="7">
        <f t="shared" si="6"/>
        <v>4.1337749999999999E-2</v>
      </c>
      <c r="CC12">
        <f t="shared" si="7"/>
        <v>58.872524999999996</v>
      </c>
      <c r="CD12">
        <f t="shared" si="8"/>
        <v>62.467574999999997</v>
      </c>
      <c r="CE12">
        <f t="shared" si="9"/>
        <v>22.843874999999997</v>
      </c>
      <c r="CF12">
        <f t="shared" si="10"/>
        <v>26.441962499999999</v>
      </c>
      <c r="CG12" s="4">
        <f t="shared" si="11"/>
        <v>0.96998625000000005</v>
      </c>
      <c r="CH12" s="7">
        <f t="shared" si="12"/>
        <v>0.17315</v>
      </c>
      <c r="CI12">
        <f t="shared" si="13"/>
        <v>59.097500000000004</v>
      </c>
      <c r="CJ12">
        <f t="shared" si="14"/>
        <v>64.022625000000005</v>
      </c>
      <c r="CK12">
        <f t="shared" si="15"/>
        <v>19.153549999999999</v>
      </c>
      <c r="CL12">
        <f t="shared" si="16"/>
        <v>22.661522500000004</v>
      </c>
      <c r="CM12" s="4">
        <f t="shared" si="17"/>
        <v>0.96177950000000001</v>
      </c>
    </row>
    <row r="13" spans="1:91" x14ac:dyDescent="0.35">
      <c r="A13" s="97"/>
      <c r="B13" s="7">
        <v>0.345613</v>
      </c>
      <c r="C13">
        <v>63.212400000000002</v>
      </c>
      <c r="D13">
        <v>68.362700000000004</v>
      </c>
      <c r="E13">
        <v>24.691700000000001</v>
      </c>
      <c r="F13">
        <v>27.870930000000001</v>
      </c>
      <c r="G13" s="4">
        <v>0.98783299999999996</v>
      </c>
      <c r="H13" s="7">
        <v>0.42944700000000002</v>
      </c>
      <c r="I13">
        <v>63.2072</v>
      </c>
      <c r="J13">
        <v>68.448300000000003</v>
      </c>
      <c r="K13">
        <v>24.556100000000001</v>
      </c>
      <c r="L13">
        <v>26.719100000000001</v>
      </c>
      <c r="M13" s="4">
        <v>0.98771100000000001</v>
      </c>
      <c r="N13" s="7">
        <v>0.280887</v>
      </c>
      <c r="O13">
        <v>63.209299999999999</v>
      </c>
      <c r="P13">
        <v>68.544499999999999</v>
      </c>
      <c r="Q13">
        <v>29.8797</v>
      </c>
      <c r="R13">
        <v>33.727559999999997</v>
      </c>
      <c r="S13" s="4">
        <v>0.98872000000000004</v>
      </c>
      <c r="T13" s="7">
        <v>2.9891999999999998E-2</v>
      </c>
      <c r="U13">
        <v>64.837800000000001</v>
      </c>
      <c r="V13">
        <v>67.684100000000001</v>
      </c>
      <c r="W13">
        <v>25.167100000000001</v>
      </c>
      <c r="X13">
        <v>27.159600000000001</v>
      </c>
      <c r="Y13" s="4">
        <v>0.98763500000000004</v>
      </c>
      <c r="Z13" s="7">
        <v>6.5320000000000003E-2</v>
      </c>
      <c r="AA13">
        <v>64.844200000000001</v>
      </c>
      <c r="AB13">
        <v>67.6327</v>
      </c>
      <c r="AC13">
        <v>33.6327</v>
      </c>
      <c r="AD13">
        <v>36.634340000000002</v>
      </c>
      <c r="AE13" s="4">
        <v>0.98750099999999996</v>
      </c>
      <c r="AF13" s="7">
        <v>0.158862</v>
      </c>
      <c r="AG13">
        <v>64.837900000000005</v>
      </c>
      <c r="AH13">
        <v>69.328400000000002</v>
      </c>
      <c r="AI13">
        <v>26.694199999999999</v>
      </c>
      <c r="AJ13">
        <v>29.83511</v>
      </c>
      <c r="AK13" s="4">
        <v>0.98714400000000002</v>
      </c>
      <c r="AL13" s="7">
        <v>8.9737999999999998E-2</v>
      </c>
      <c r="AM13">
        <v>64.9619</v>
      </c>
      <c r="AN13">
        <v>69.330799999999996</v>
      </c>
      <c r="AO13">
        <v>21.356200000000001</v>
      </c>
      <c r="AP13">
        <v>25.392160000000001</v>
      </c>
      <c r="AQ13" s="4">
        <v>0.98521999999999998</v>
      </c>
      <c r="AR13" s="7">
        <v>0.42375699999999999</v>
      </c>
      <c r="AS13">
        <v>64.841700000000003</v>
      </c>
      <c r="AT13">
        <v>69.111599999999996</v>
      </c>
      <c r="AU13">
        <v>23.621600000000001</v>
      </c>
      <c r="AV13">
        <v>27.19903</v>
      </c>
      <c r="AW13" s="4">
        <v>0.99072199999999999</v>
      </c>
      <c r="AX13" s="7">
        <v>0.134798</v>
      </c>
      <c r="AY13">
        <v>64.966399999999993</v>
      </c>
      <c r="AZ13">
        <v>69.886600000000001</v>
      </c>
      <c r="BA13">
        <v>19.2148</v>
      </c>
      <c r="BB13">
        <v>23.170739999999999</v>
      </c>
      <c r="BC13" s="4">
        <v>0.98325899999999999</v>
      </c>
      <c r="BD13" s="7">
        <v>1.6035950000000001</v>
      </c>
      <c r="BE13">
        <v>64.843299999999999</v>
      </c>
      <c r="BF13">
        <v>70.022599999999997</v>
      </c>
      <c r="BG13">
        <v>21.084800000000001</v>
      </c>
      <c r="BH13">
        <v>24.886700000000001</v>
      </c>
      <c r="BI13" s="4">
        <v>0.98501300000000003</v>
      </c>
      <c r="BJ13" s="7">
        <v>1.1379520000000001</v>
      </c>
      <c r="BK13">
        <v>64.835800000000006</v>
      </c>
      <c r="BL13">
        <v>69.654600000000002</v>
      </c>
      <c r="BM13">
        <v>22.148199999999999</v>
      </c>
      <c r="BN13">
        <v>25.176850000000002</v>
      </c>
      <c r="BO13" s="4">
        <v>0.98868500000000004</v>
      </c>
      <c r="BP13" s="7">
        <v>0.64173999999999998</v>
      </c>
      <c r="BQ13">
        <v>65.432100000000005</v>
      </c>
      <c r="BR13">
        <v>70.595799999999997</v>
      </c>
      <c r="BS13">
        <v>26.548100000000002</v>
      </c>
      <c r="BT13">
        <v>29.176749999999998</v>
      </c>
      <c r="BU13" s="4">
        <v>0.99239699999999997</v>
      </c>
      <c r="BV13" s="7">
        <f t="shared" si="0"/>
        <v>0.27145975</v>
      </c>
      <c r="BW13">
        <f t="shared" si="1"/>
        <v>63.616675000000001</v>
      </c>
      <c r="BX13">
        <f t="shared" si="2"/>
        <v>68.259900000000002</v>
      </c>
      <c r="BY13">
        <f t="shared" si="3"/>
        <v>26.073650000000001</v>
      </c>
      <c r="BZ13">
        <f t="shared" si="4"/>
        <v>28.869297499999998</v>
      </c>
      <c r="CA13" s="4">
        <f t="shared" si="5"/>
        <v>0.98797475000000001</v>
      </c>
      <c r="CB13" s="7">
        <f t="shared" si="6"/>
        <v>0.18441925000000001</v>
      </c>
      <c r="CC13">
        <f t="shared" si="7"/>
        <v>64.871425000000002</v>
      </c>
      <c r="CD13">
        <f t="shared" si="8"/>
        <v>68.850875000000002</v>
      </c>
      <c r="CE13">
        <f t="shared" si="9"/>
        <v>26.326174999999999</v>
      </c>
      <c r="CF13">
        <f t="shared" si="10"/>
        <v>29.765160000000002</v>
      </c>
      <c r="CG13" s="4">
        <f t="shared" si="11"/>
        <v>0.98764675000000002</v>
      </c>
      <c r="CH13" s="7">
        <f t="shared" si="12"/>
        <v>0.87952125000000003</v>
      </c>
      <c r="CI13">
        <f t="shared" si="13"/>
        <v>65.01939999999999</v>
      </c>
      <c r="CJ13">
        <f t="shared" si="14"/>
        <v>70.039900000000003</v>
      </c>
      <c r="CK13">
        <f t="shared" si="15"/>
        <v>22.248975000000002</v>
      </c>
      <c r="CL13">
        <f t="shared" si="16"/>
        <v>25.60276</v>
      </c>
      <c r="CM13" s="4">
        <f t="shared" si="17"/>
        <v>0.98733850000000001</v>
      </c>
    </row>
    <row r="14" spans="1:91" x14ac:dyDescent="0.35">
      <c r="A14" s="97"/>
      <c r="B14" s="7">
        <v>1.05379</v>
      </c>
      <c r="C14">
        <v>67.983599999999996</v>
      </c>
      <c r="D14">
        <v>72.961600000000004</v>
      </c>
      <c r="E14">
        <v>28.13</v>
      </c>
      <c r="F14">
        <v>31.193010000000001</v>
      </c>
      <c r="G14" s="4">
        <v>0.993977</v>
      </c>
      <c r="H14" s="7">
        <v>1.4267879999999999</v>
      </c>
      <c r="I14">
        <v>67.982200000000006</v>
      </c>
      <c r="J14">
        <v>73.040000000000006</v>
      </c>
      <c r="K14">
        <v>27.627300000000002</v>
      </c>
      <c r="L14">
        <v>29.731529999999999</v>
      </c>
      <c r="M14" s="4">
        <v>0.99413399999999996</v>
      </c>
      <c r="N14" s="7">
        <v>0.70589500000000005</v>
      </c>
      <c r="O14">
        <v>67.973600000000005</v>
      </c>
      <c r="P14">
        <v>73.040599999999998</v>
      </c>
      <c r="Q14">
        <v>33.683599999999998</v>
      </c>
      <c r="R14">
        <v>37.263179999999998</v>
      </c>
      <c r="S14" s="4">
        <v>0.99368800000000002</v>
      </c>
      <c r="T14" s="7">
        <v>0.13717399999999999</v>
      </c>
      <c r="U14">
        <v>70.486900000000006</v>
      </c>
      <c r="V14">
        <v>74.2286</v>
      </c>
      <c r="W14">
        <v>29.1812</v>
      </c>
      <c r="X14">
        <v>31.2591</v>
      </c>
      <c r="Y14" s="4">
        <v>0.99680800000000003</v>
      </c>
      <c r="Z14" s="7">
        <v>0.23164199999999999</v>
      </c>
      <c r="AA14">
        <v>70.486900000000006</v>
      </c>
      <c r="AB14">
        <v>74.2179</v>
      </c>
      <c r="AC14">
        <v>37.934800000000003</v>
      </c>
      <c r="AD14">
        <v>40.680660000000003</v>
      </c>
      <c r="AE14" s="4">
        <v>0.99397000000000002</v>
      </c>
      <c r="AF14" s="7">
        <v>0.804566</v>
      </c>
      <c r="AG14">
        <v>70.483199999999997</v>
      </c>
      <c r="AH14">
        <v>75.275899999999993</v>
      </c>
      <c r="AI14">
        <v>29.698699999999999</v>
      </c>
      <c r="AJ14">
        <v>32.696040000000004</v>
      </c>
      <c r="AK14" s="4">
        <v>0.99395500000000003</v>
      </c>
      <c r="AL14" s="7">
        <v>0.46901799999999999</v>
      </c>
      <c r="AM14">
        <v>70.854200000000006</v>
      </c>
      <c r="AN14">
        <v>75.535600000000002</v>
      </c>
      <c r="AO14">
        <v>23.343599999999999</v>
      </c>
      <c r="AP14">
        <v>27.646989999999999</v>
      </c>
      <c r="AQ14" s="4">
        <v>0.99289000000000005</v>
      </c>
      <c r="AR14" s="7">
        <v>1.770186</v>
      </c>
      <c r="AS14">
        <v>70.483900000000006</v>
      </c>
      <c r="AT14">
        <v>75.057199999999995</v>
      </c>
      <c r="AU14">
        <v>29.003299999999999</v>
      </c>
      <c r="AV14">
        <v>31.91638</v>
      </c>
      <c r="AW14" s="4">
        <v>0.99747699999999995</v>
      </c>
      <c r="AX14" s="7">
        <v>0.81212899999999999</v>
      </c>
      <c r="AY14">
        <v>70.841499999999996</v>
      </c>
      <c r="AZ14">
        <v>75.717399999999998</v>
      </c>
      <c r="BA14">
        <v>21.880600000000001</v>
      </c>
      <c r="BB14">
        <v>25.688580000000002</v>
      </c>
      <c r="BC14" s="4">
        <v>0.99421000000000004</v>
      </c>
      <c r="BD14" s="7">
        <v>4.774146</v>
      </c>
      <c r="BE14">
        <v>70.483199999999997</v>
      </c>
      <c r="BF14">
        <v>75.438000000000002</v>
      </c>
      <c r="BG14">
        <v>24.631799999999998</v>
      </c>
      <c r="BH14">
        <v>27.912590000000002</v>
      </c>
      <c r="BI14" s="4">
        <v>0.99286799999999997</v>
      </c>
      <c r="BJ14" s="7">
        <v>4.5936750000000002</v>
      </c>
      <c r="BK14">
        <v>70.477099999999993</v>
      </c>
      <c r="BL14">
        <v>75.254400000000004</v>
      </c>
      <c r="BM14">
        <v>26.578499999999998</v>
      </c>
      <c r="BN14">
        <v>29.172239999999999</v>
      </c>
      <c r="BO14" s="4">
        <v>0.995726</v>
      </c>
      <c r="BP14" s="7">
        <v>3.078497</v>
      </c>
      <c r="BQ14">
        <v>71.336799999999997</v>
      </c>
      <c r="BR14">
        <v>77.03</v>
      </c>
      <c r="BS14">
        <v>32.204999999999998</v>
      </c>
      <c r="BT14">
        <v>34.466410000000003</v>
      </c>
      <c r="BU14" s="4">
        <v>0.99627399999999999</v>
      </c>
      <c r="BV14" s="7">
        <f t="shared" si="0"/>
        <v>0.83091175000000006</v>
      </c>
      <c r="BW14">
        <f t="shared" si="1"/>
        <v>68.606575000000007</v>
      </c>
      <c r="BX14">
        <f t="shared" si="2"/>
        <v>73.317700000000002</v>
      </c>
      <c r="BY14">
        <f t="shared" si="3"/>
        <v>29.655525000000001</v>
      </c>
      <c r="BZ14">
        <f t="shared" si="4"/>
        <v>32.361705000000001</v>
      </c>
      <c r="CA14" s="4">
        <f t="shared" si="5"/>
        <v>0.99465174999999995</v>
      </c>
      <c r="CB14" s="7">
        <f t="shared" si="6"/>
        <v>0.81885300000000005</v>
      </c>
      <c r="CC14">
        <f t="shared" si="7"/>
        <v>70.57705</v>
      </c>
      <c r="CD14">
        <f t="shared" si="8"/>
        <v>75.021649999999994</v>
      </c>
      <c r="CE14">
        <f t="shared" si="9"/>
        <v>29.995099999999997</v>
      </c>
      <c r="CF14">
        <f t="shared" si="10"/>
        <v>33.235017499999998</v>
      </c>
      <c r="CG14" s="4">
        <f t="shared" si="11"/>
        <v>0.99457300000000004</v>
      </c>
      <c r="CH14" s="7">
        <f t="shared" si="12"/>
        <v>3.3146117500000001</v>
      </c>
      <c r="CI14">
        <f t="shared" si="13"/>
        <v>70.784649999999999</v>
      </c>
      <c r="CJ14">
        <f t="shared" si="14"/>
        <v>75.859949999999998</v>
      </c>
      <c r="CK14">
        <f t="shared" si="15"/>
        <v>26.323975000000001</v>
      </c>
      <c r="CL14">
        <f t="shared" si="16"/>
        <v>29.309955000000002</v>
      </c>
      <c r="CM14" s="4">
        <f t="shared" si="17"/>
        <v>0.99476950000000008</v>
      </c>
    </row>
    <row r="15" spans="1:91" x14ac:dyDescent="0.35">
      <c r="A15" s="97"/>
      <c r="B15" s="7">
        <v>2.0350519999999999</v>
      </c>
      <c r="C15">
        <v>69.679699999999997</v>
      </c>
      <c r="D15">
        <v>74.494600000000005</v>
      </c>
      <c r="E15">
        <v>31.476500000000001</v>
      </c>
      <c r="F15">
        <v>34.337699999999998</v>
      </c>
      <c r="G15" s="4">
        <v>0.99621800000000005</v>
      </c>
      <c r="H15" s="7">
        <v>2.7678780000000001</v>
      </c>
      <c r="I15">
        <v>69.704800000000006</v>
      </c>
      <c r="J15">
        <v>74.611900000000006</v>
      </c>
      <c r="K15">
        <v>30.853300000000001</v>
      </c>
      <c r="L15">
        <v>32.821649999999998</v>
      </c>
      <c r="M15" s="4">
        <v>0.99617199999999995</v>
      </c>
      <c r="N15" s="7">
        <v>1.1530860000000001</v>
      </c>
      <c r="O15">
        <v>69.7012</v>
      </c>
      <c r="P15">
        <v>74.604799999999997</v>
      </c>
      <c r="Q15">
        <v>36.8949</v>
      </c>
      <c r="R15">
        <v>40.216180000000001</v>
      </c>
      <c r="S15" s="4">
        <v>0.995811</v>
      </c>
      <c r="T15" s="7">
        <v>0.57457000000000003</v>
      </c>
      <c r="U15">
        <v>75.255300000000005</v>
      </c>
      <c r="V15">
        <v>80.084699999999998</v>
      </c>
      <c r="W15">
        <v>34.852899999999998</v>
      </c>
      <c r="X15">
        <v>37.015709999999999</v>
      </c>
      <c r="Y15" s="4">
        <v>0.99915299999999996</v>
      </c>
      <c r="Z15" s="7">
        <v>0.87133300000000002</v>
      </c>
      <c r="AA15">
        <v>75.249600000000001</v>
      </c>
      <c r="AB15">
        <v>80.0047</v>
      </c>
      <c r="AC15">
        <v>42.303100000000001</v>
      </c>
      <c r="AD15">
        <v>44.506709999999998</v>
      </c>
      <c r="AE15" s="4">
        <v>0.99762300000000004</v>
      </c>
      <c r="AF15" s="7">
        <v>3.0162309999999999</v>
      </c>
      <c r="AG15">
        <v>75.254000000000005</v>
      </c>
      <c r="AH15">
        <v>79.942300000000003</v>
      </c>
      <c r="AI15">
        <v>32.997</v>
      </c>
      <c r="AJ15">
        <v>35.792729999999999</v>
      </c>
      <c r="AK15" s="4">
        <v>0.99707199999999996</v>
      </c>
      <c r="AL15" s="7">
        <v>2.0336150000000002</v>
      </c>
      <c r="AM15">
        <v>76.496099999999998</v>
      </c>
      <c r="AN15">
        <v>81.386700000000005</v>
      </c>
      <c r="AO15">
        <v>26.411300000000001</v>
      </c>
      <c r="AP15">
        <v>30.711189999999998</v>
      </c>
      <c r="AQ15" s="4">
        <v>0.996838</v>
      </c>
      <c r="AR15" s="7">
        <v>5.3002789999999997</v>
      </c>
      <c r="AS15">
        <v>75.251199999999997</v>
      </c>
      <c r="AT15">
        <v>79.418099999999995</v>
      </c>
      <c r="AU15">
        <v>34.217100000000002</v>
      </c>
      <c r="AV15">
        <v>36.548340000000003</v>
      </c>
      <c r="AW15" s="4">
        <v>0.99907500000000005</v>
      </c>
      <c r="AX15" s="7">
        <v>3.5751710000000001</v>
      </c>
      <c r="AY15">
        <v>76.513900000000007</v>
      </c>
      <c r="AZ15">
        <v>81.344899999999996</v>
      </c>
      <c r="BA15">
        <v>25.844799999999999</v>
      </c>
      <c r="BB15">
        <v>29.272600000000001</v>
      </c>
      <c r="BC15" s="4">
        <v>0.99785900000000005</v>
      </c>
      <c r="BD15" s="7">
        <v>9.4654869999999995</v>
      </c>
      <c r="BE15">
        <v>75.250799999999998</v>
      </c>
      <c r="BF15">
        <v>80.182599999999994</v>
      </c>
      <c r="BG15">
        <v>28.4498</v>
      </c>
      <c r="BH15">
        <v>31.14246</v>
      </c>
      <c r="BI15" s="4">
        <v>0.99648999999999999</v>
      </c>
      <c r="BJ15" s="7">
        <v>9.2053840000000005</v>
      </c>
      <c r="BK15">
        <v>75.260199999999998</v>
      </c>
      <c r="BL15">
        <v>79.557500000000005</v>
      </c>
      <c r="BM15">
        <v>31.677600000000002</v>
      </c>
      <c r="BN15">
        <v>33.566850000000002</v>
      </c>
      <c r="BO15" s="4">
        <v>0.998201</v>
      </c>
      <c r="BP15" s="7">
        <v>6.538913</v>
      </c>
      <c r="BQ15">
        <v>76.990499999999997</v>
      </c>
      <c r="BR15">
        <v>82.963999999999999</v>
      </c>
      <c r="BS15">
        <v>37.564599999999999</v>
      </c>
      <c r="BT15">
        <v>39.341610000000003</v>
      </c>
      <c r="BU15" s="4">
        <v>0.99787300000000001</v>
      </c>
      <c r="BV15" s="7">
        <f t="shared" si="0"/>
        <v>1.6326464999999999</v>
      </c>
      <c r="BW15">
        <f t="shared" si="1"/>
        <v>71.085250000000002</v>
      </c>
      <c r="BX15">
        <f t="shared" si="2"/>
        <v>75.948999999999998</v>
      </c>
      <c r="BY15">
        <f t="shared" si="3"/>
        <v>33.519399999999997</v>
      </c>
      <c r="BZ15">
        <f t="shared" si="4"/>
        <v>36.097809999999996</v>
      </c>
      <c r="CA15" s="4">
        <f t="shared" si="5"/>
        <v>0.99683850000000007</v>
      </c>
      <c r="CB15" s="7">
        <f t="shared" si="6"/>
        <v>2.8053644999999996</v>
      </c>
      <c r="CC15">
        <f t="shared" si="7"/>
        <v>75.562725</v>
      </c>
      <c r="CD15">
        <f t="shared" si="8"/>
        <v>80.187950000000001</v>
      </c>
      <c r="CE15">
        <f t="shared" si="9"/>
        <v>33.982125000000003</v>
      </c>
      <c r="CF15">
        <f t="shared" si="10"/>
        <v>36.889742499999997</v>
      </c>
      <c r="CG15" s="4">
        <f t="shared" si="11"/>
        <v>0.99765199999999998</v>
      </c>
      <c r="CH15" s="7">
        <f t="shared" si="12"/>
        <v>7.19623875</v>
      </c>
      <c r="CI15">
        <f t="shared" si="13"/>
        <v>76.00385</v>
      </c>
      <c r="CJ15">
        <f t="shared" si="14"/>
        <v>81.012249999999995</v>
      </c>
      <c r="CK15">
        <f t="shared" si="15"/>
        <v>30.8842</v>
      </c>
      <c r="CL15">
        <f t="shared" si="16"/>
        <v>33.330880000000001</v>
      </c>
      <c r="CM15" s="4">
        <f t="shared" si="17"/>
        <v>0.99760574999999996</v>
      </c>
    </row>
    <row r="16" spans="1:91" x14ac:dyDescent="0.35">
      <c r="A16" s="98"/>
      <c r="B16" s="7">
        <v>3.2983039999999999</v>
      </c>
      <c r="C16">
        <v>70.366100000000003</v>
      </c>
      <c r="D16">
        <v>75.128500000000003</v>
      </c>
      <c r="E16">
        <v>34.575099999999999</v>
      </c>
      <c r="F16">
        <v>37.28295</v>
      </c>
      <c r="G16" s="4">
        <v>0.99751599999999996</v>
      </c>
      <c r="H16" s="7">
        <v>4.5571609999999998</v>
      </c>
      <c r="I16">
        <v>70.386899999999997</v>
      </c>
      <c r="J16">
        <v>75.171999999999997</v>
      </c>
      <c r="K16">
        <v>34.118600000000001</v>
      </c>
      <c r="L16">
        <v>35.976779999999998</v>
      </c>
      <c r="M16" s="4">
        <v>0.99744699999999997</v>
      </c>
      <c r="N16" s="7">
        <v>1.791167</v>
      </c>
      <c r="O16">
        <v>70.424899999999994</v>
      </c>
      <c r="P16">
        <v>75.278999999999996</v>
      </c>
      <c r="Q16">
        <v>40.265300000000003</v>
      </c>
      <c r="R16">
        <v>43.172730000000001</v>
      </c>
      <c r="S16" s="4">
        <v>0.99716199999999999</v>
      </c>
      <c r="T16" s="7">
        <v>1.5541450000000001</v>
      </c>
      <c r="U16">
        <v>80.029300000000006</v>
      </c>
      <c r="V16">
        <v>85.078199999999995</v>
      </c>
      <c r="W16">
        <v>38.753900000000002</v>
      </c>
      <c r="X16">
        <v>40.814999999999998</v>
      </c>
      <c r="Y16" s="4">
        <v>0.999614</v>
      </c>
      <c r="Z16" s="7">
        <v>2.2872180000000002</v>
      </c>
      <c r="AA16">
        <v>80.029300000000006</v>
      </c>
      <c r="AB16">
        <v>84.769099999999995</v>
      </c>
      <c r="AC16">
        <v>44.575600000000001</v>
      </c>
      <c r="AD16">
        <v>46.493810000000003</v>
      </c>
      <c r="AE16" s="4">
        <v>0.99873299999999998</v>
      </c>
      <c r="AF16" s="7">
        <v>5.4155870000000004</v>
      </c>
      <c r="AG16">
        <v>80.025599999999997</v>
      </c>
      <c r="AH16">
        <v>84.737799999999993</v>
      </c>
      <c r="AI16">
        <v>36.873800000000003</v>
      </c>
      <c r="AJ16">
        <v>39.157739999999997</v>
      </c>
      <c r="AK16" s="4">
        <v>0.99819199999999997</v>
      </c>
      <c r="AL16" s="7">
        <v>6.1067010000000002</v>
      </c>
      <c r="AM16">
        <v>81.2864</v>
      </c>
      <c r="AN16">
        <v>86.102199999999996</v>
      </c>
      <c r="AO16">
        <v>30.1722</v>
      </c>
      <c r="AP16">
        <v>34.200060000000001</v>
      </c>
      <c r="AQ16" s="4">
        <v>0.99835700000000005</v>
      </c>
      <c r="AR16" s="7">
        <v>7.9606640000000004</v>
      </c>
      <c r="AS16">
        <v>80.026399999999995</v>
      </c>
      <c r="AT16">
        <v>84.491200000000006</v>
      </c>
      <c r="AU16">
        <v>39.821399999999997</v>
      </c>
      <c r="AV16">
        <v>41.247630000000001</v>
      </c>
      <c r="AW16" s="4">
        <v>0.99957799999999997</v>
      </c>
      <c r="AX16" s="7">
        <v>8.8129430000000006</v>
      </c>
      <c r="AY16">
        <v>81.266599999999997</v>
      </c>
      <c r="AZ16">
        <v>86.040599999999998</v>
      </c>
      <c r="BA16">
        <v>30.530200000000001</v>
      </c>
      <c r="BB16">
        <v>33.44979</v>
      </c>
      <c r="BC16" s="4">
        <v>0.99903900000000001</v>
      </c>
      <c r="BD16" s="7">
        <v>13.18554</v>
      </c>
      <c r="BE16">
        <v>80.025599999999997</v>
      </c>
      <c r="BF16">
        <v>84.857500000000002</v>
      </c>
      <c r="BG16">
        <v>33.893099999999997</v>
      </c>
      <c r="BH16">
        <v>35.766849999999998</v>
      </c>
      <c r="BI16" s="4">
        <v>0.99861900000000003</v>
      </c>
      <c r="BJ16" s="7">
        <v>12.853149999999999</v>
      </c>
      <c r="BK16">
        <v>80.019499999999994</v>
      </c>
      <c r="BL16">
        <v>84.622900000000001</v>
      </c>
      <c r="BM16">
        <v>37.521799999999999</v>
      </c>
      <c r="BN16">
        <v>38.554780000000001</v>
      </c>
      <c r="BO16" s="4">
        <v>0.99910600000000005</v>
      </c>
      <c r="BP16" s="7">
        <v>10.201829999999999</v>
      </c>
      <c r="BQ16">
        <v>81.753200000000007</v>
      </c>
      <c r="BR16">
        <v>87.976200000000006</v>
      </c>
      <c r="BS16">
        <v>42.459000000000003</v>
      </c>
      <c r="BT16">
        <v>43.829479999999997</v>
      </c>
      <c r="BU16" s="4">
        <v>0.99893500000000002</v>
      </c>
      <c r="BV16" s="7">
        <f t="shared" si="0"/>
        <v>2.8001942499999997</v>
      </c>
      <c r="BW16">
        <f t="shared" si="1"/>
        <v>72.801800000000014</v>
      </c>
      <c r="BX16">
        <f t="shared" si="2"/>
        <v>77.664424999999994</v>
      </c>
      <c r="BY16">
        <f t="shared" si="3"/>
        <v>36.928224999999998</v>
      </c>
      <c r="BZ16">
        <f t="shared" si="4"/>
        <v>39.311864999999997</v>
      </c>
      <c r="CA16" s="4">
        <f t="shared" si="5"/>
        <v>0.99793474999999998</v>
      </c>
      <c r="CB16" s="7">
        <f t="shared" si="6"/>
        <v>5.4425425000000001</v>
      </c>
      <c r="CC16">
        <f t="shared" si="7"/>
        <v>80.341925000000003</v>
      </c>
      <c r="CD16">
        <f t="shared" si="8"/>
        <v>85.025074999999987</v>
      </c>
      <c r="CE16">
        <f t="shared" si="9"/>
        <v>37.860750000000003</v>
      </c>
      <c r="CF16">
        <f t="shared" si="10"/>
        <v>40.274810000000002</v>
      </c>
      <c r="CG16" s="4">
        <f t="shared" si="11"/>
        <v>0.99871500000000002</v>
      </c>
      <c r="CH16" s="7">
        <f t="shared" si="12"/>
        <v>11.263365749999998</v>
      </c>
      <c r="CI16">
        <f t="shared" si="13"/>
        <v>80.766224999999991</v>
      </c>
      <c r="CJ16">
        <f t="shared" si="14"/>
        <v>85.874299999999991</v>
      </c>
      <c r="CK16">
        <f t="shared" si="15"/>
        <v>36.101025</v>
      </c>
      <c r="CL16">
        <f t="shared" si="16"/>
        <v>37.900224999999999</v>
      </c>
      <c r="CM16" s="4">
        <f t="shared" si="17"/>
        <v>0.99892475000000003</v>
      </c>
    </row>
    <row r="17" spans="1:91" x14ac:dyDescent="0.35">
      <c r="A17" s="96" t="s">
        <v>153</v>
      </c>
      <c r="B17" s="8">
        <v>5.8663E-2</v>
      </c>
      <c r="C17" s="2">
        <v>54.3005</v>
      </c>
      <c r="D17" s="2">
        <v>55.449300000000001</v>
      </c>
      <c r="E17" s="2">
        <v>20.9953</v>
      </c>
      <c r="F17" s="2">
        <v>24.242039999999999</v>
      </c>
      <c r="G17" s="3">
        <v>0.96818800000000005</v>
      </c>
      <c r="H17" s="8">
        <v>7.1348999999999996E-2</v>
      </c>
      <c r="I17" s="2">
        <v>54.2791</v>
      </c>
      <c r="J17" s="2">
        <v>55.755299999999998</v>
      </c>
      <c r="K17" s="2">
        <v>21.105699999999999</v>
      </c>
      <c r="L17" s="2">
        <v>23.068100000000001</v>
      </c>
      <c r="M17" s="3">
        <v>0.96561699999999995</v>
      </c>
      <c r="N17" s="8">
        <v>4.8002999999999997E-2</v>
      </c>
      <c r="O17" s="2">
        <v>57.891800000000003</v>
      </c>
      <c r="P17" s="2">
        <v>58.968800000000002</v>
      </c>
      <c r="Q17" s="2">
        <v>26.333300000000001</v>
      </c>
      <c r="R17" s="2">
        <v>29.86955</v>
      </c>
      <c r="S17" s="3">
        <v>0.97621800000000003</v>
      </c>
      <c r="T17" s="8">
        <v>3.6819999999999999E-2</v>
      </c>
      <c r="U17" s="2">
        <v>67.510499999999993</v>
      </c>
      <c r="V17" s="2">
        <v>68.103899999999996</v>
      </c>
      <c r="W17" s="2">
        <v>26.662500000000001</v>
      </c>
      <c r="X17" s="2">
        <v>28.378599999999999</v>
      </c>
      <c r="Y17" s="3">
        <v>0.989927</v>
      </c>
      <c r="Z17" s="8">
        <v>5.8487999999999998E-2</v>
      </c>
      <c r="AA17" s="2">
        <v>67.994900000000001</v>
      </c>
      <c r="AB17" s="2">
        <v>68.726100000000002</v>
      </c>
      <c r="AC17" s="2">
        <v>35.189700000000002</v>
      </c>
      <c r="AD17" s="2">
        <v>36.745130000000003</v>
      </c>
      <c r="AE17" s="3">
        <v>0.98876799999999998</v>
      </c>
      <c r="AF17" s="8">
        <v>0.103522</v>
      </c>
      <c r="AG17" s="2">
        <v>67.561499999999995</v>
      </c>
      <c r="AH17" s="2">
        <v>69.991699999999994</v>
      </c>
      <c r="AI17" s="2">
        <v>27.0914</v>
      </c>
      <c r="AJ17" s="2">
        <v>29.958459999999999</v>
      </c>
      <c r="AK17" s="3">
        <v>0.98720699999999995</v>
      </c>
      <c r="AL17" s="8">
        <v>0.288186</v>
      </c>
      <c r="AM17" s="2">
        <v>71.267600000000002</v>
      </c>
      <c r="AN17" s="2">
        <v>74.569199999999995</v>
      </c>
      <c r="AO17" s="2">
        <v>23.520499999999998</v>
      </c>
      <c r="AP17" s="2">
        <v>27.054539999999999</v>
      </c>
      <c r="AQ17" s="3">
        <v>0.98927699999999996</v>
      </c>
      <c r="AR17" s="8">
        <v>0.33870400000000001</v>
      </c>
      <c r="AS17" s="2">
        <v>71.446399999999997</v>
      </c>
      <c r="AT17" s="2">
        <v>73.499799999999993</v>
      </c>
      <c r="AU17" s="2">
        <v>25.431999999999999</v>
      </c>
      <c r="AV17" s="2">
        <v>28.29515</v>
      </c>
      <c r="AW17" s="3">
        <v>0.99117200000000005</v>
      </c>
      <c r="AX17" s="8">
        <v>0.48704500000000001</v>
      </c>
      <c r="AY17" s="2">
        <v>71.263400000000004</v>
      </c>
      <c r="AZ17" s="2">
        <v>74.307400000000001</v>
      </c>
      <c r="BA17" s="2">
        <v>21.336099999999998</v>
      </c>
      <c r="BB17" s="2">
        <v>24.848310000000001</v>
      </c>
      <c r="BC17" s="3">
        <v>0.992483</v>
      </c>
      <c r="BD17" s="8">
        <v>1.226391</v>
      </c>
      <c r="BE17" s="2">
        <v>62.437600000000003</v>
      </c>
      <c r="BF17" s="2">
        <v>65.472300000000004</v>
      </c>
      <c r="BG17" s="2">
        <v>20.021899999999999</v>
      </c>
      <c r="BH17" s="2">
        <v>23.908159999999999</v>
      </c>
      <c r="BI17" s="3">
        <v>0.98152499999999998</v>
      </c>
      <c r="BJ17" s="8">
        <v>0.80216299999999996</v>
      </c>
      <c r="BK17" s="2">
        <v>63.698</v>
      </c>
      <c r="BL17" s="2">
        <v>65.7012</v>
      </c>
      <c r="BM17" s="2">
        <v>21.472899999999999</v>
      </c>
      <c r="BN17" s="2">
        <v>24.53351</v>
      </c>
      <c r="BO17" s="3">
        <v>0.98592199999999997</v>
      </c>
      <c r="BP17" s="8">
        <v>3.1235539999999999</v>
      </c>
      <c r="BQ17" s="2">
        <v>69.789699999999996</v>
      </c>
      <c r="BR17" s="2">
        <v>75.917900000000003</v>
      </c>
      <c r="BS17" s="2">
        <v>28.189699999999998</v>
      </c>
      <c r="BT17" s="2">
        <v>30.669740000000001</v>
      </c>
      <c r="BU17" s="3">
        <v>0.99472300000000002</v>
      </c>
      <c r="BV17" s="8">
        <f t="shared" si="0"/>
        <v>5.370875E-2</v>
      </c>
      <c r="BW17" s="2">
        <f t="shared" si="1"/>
        <v>58.495474999999999</v>
      </c>
      <c r="BX17" s="2">
        <f t="shared" si="2"/>
        <v>59.569324999999999</v>
      </c>
      <c r="BY17" s="2">
        <f t="shared" si="3"/>
        <v>23.7742</v>
      </c>
      <c r="BZ17" s="2">
        <f t="shared" si="4"/>
        <v>26.3895725</v>
      </c>
      <c r="CA17" s="3">
        <f t="shared" si="5"/>
        <v>0.97498750000000001</v>
      </c>
      <c r="CB17" s="8">
        <f t="shared" si="6"/>
        <v>0.19722499999999998</v>
      </c>
      <c r="CC17" s="2">
        <f t="shared" si="7"/>
        <v>69.567599999999999</v>
      </c>
      <c r="CD17" s="2">
        <f t="shared" si="8"/>
        <v>71.696699999999993</v>
      </c>
      <c r="CE17" s="2">
        <f t="shared" si="9"/>
        <v>27.808399999999999</v>
      </c>
      <c r="CF17" s="2">
        <f t="shared" si="10"/>
        <v>30.51332</v>
      </c>
      <c r="CG17" s="3">
        <f t="shared" si="11"/>
        <v>0.98910599999999993</v>
      </c>
      <c r="CH17" s="8">
        <f t="shared" si="12"/>
        <v>1.4097882500000001</v>
      </c>
      <c r="CI17" s="2">
        <f t="shared" si="13"/>
        <v>66.797174999999996</v>
      </c>
      <c r="CJ17" s="2">
        <f t="shared" si="14"/>
        <v>70.349699999999999</v>
      </c>
      <c r="CK17" s="2">
        <f t="shared" si="15"/>
        <v>22.75515</v>
      </c>
      <c r="CL17" s="2">
        <f t="shared" si="16"/>
        <v>25.989930000000001</v>
      </c>
      <c r="CM17" s="3">
        <f t="shared" si="17"/>
        <v>0.98866324999999999</v>
      </c>
    </row>
    <row r="18" spans="1:91" x14ac:dyDescent="0.35">
      <c r="A18" s="97"/>
      <c r="B18" s="7">
        <v>6.9492999999999999E-2</v>
      </c>
      <c r="C18">
        <v>59.072000000000003</v>
      </c>
      <c r="D18">
        <v>60.872900000000001</v>
      </c>
      <c r="E18">
        <v>22.304099999999998</v>
      </c>
      <c r="F18">
        <v>25.3688</v>
      </c>
      <c r="G18" s="4">
        <v>0.97692100000000004</v>
      </c>
      <c r="H18" s="7">
        <v>8.4930000000000005E-2</v>
      </c>
      <c r="I18">
        <v>58.729100000000003</v>
      </c>
      <c r="J18">
        <v>61.191000000000003</v>
      </c>
      <c r="K18">
        <v>21.903199999999998</v>
      </c>
      <c r="L18">
        <v>23.7376</v>
      </c>
      <c r="M18" s="4">
        <v>0.97324100000000002</v>
      </c>
      <c r="N18" s="7">
        <v>8.6648000000000003E-2</v>
      </c>
      <c r="O18">
        <v>64.854299999999995</v>
      </c>
      <c r="P18">
        <v>66.856300000000005</v>
      </c>
      <c r="Q18">
        <v>28.174700000000001</v>
      </c>
      <c r="R18">
        <v>31.612310000000001</v>
      </c>
      <c r="S18" s="4">
        <v>0.98420200000000002</v>
      </c>
      <c r="T18" s="7">
        <v>3.7204000000000001E-2</v>
      </c>
      <c r="U18">
        <v>68.200100000000006</v>
      </c>
      <c r="V18">
        <v>68.839399999999998</v>
      </c>
      <c r="W18">
        <v>26.721299999999999</v>
      </c>
      <c r="X18">
        <v>28.434180000000001</v>
      </c>
      <c r="Y18" s="4">
        <v>0.99014999999999997</v>
      </c>
      <c r="Z18" s="7">
        <v>0.21232300000000001</v>
      </c>
      <c r="AA18">
        <v>76.012200000000007</v>
      </c>
      <c r="AB18">
        <v>81.522999999999996</v>
      </c>
      <c r="AC18">
        <v>40.7301</v>
      </c>
      <c r="AD18">
        <v>42.606909999999999</v>
      </c>
      <c r="AE18" s="4">
        <v>0.99592999999999998</v>
      </c>
      <c r="AF18" s="7">
        <v>0.146677</v>
      </c>
      <c r="AG18">
        <v>67.561599999999999</v>
      </c>
      <c r="AH18">
        <v>69.991799999999998</v>
      </c>
      <c r="AI18">
        <v>27.8918</v>
      </c>
      <c r="AJ18">
        <v>30.936399999999999</v>
      </c>
      <c r="AK18" s="4">
        <v>0.98870999999999998</v>
      </c>
      <c r="AL18" s="7">
        <v>0.29323700000000003</v>
      </c>
      <c r="AM18">
        <v>71.574299999999994</v>
      </c>
      <c r="AN18">
        <v>75.063299999999998</v>
      </c>
      <c r="AO18">
        <v>23.5656</v>
      </c>
      <c r="AP18">
        <v>27.094460000000002</v>
      </c>
      <c r="AQ18" s="4">
        <v>0.98940300000000003</v>
      </c>
      <c r="AR18" s="7">
        <v>0.47996899999999998</v>
      </c>
      <c r="AS18">
        <v>73.199700000000007</v>
      </c>
      <c r="AT18">
        <v>74.682900000000004</v>
      </c>
      <c r="AU18">
        <v>25.644600000000001</v>
      </c>
      <c r="AV18">
        <v>28.46358</v>
      </c>
      <c r="AW18" s="4">
        <v>0.99187700000000001</v>
      </c>
      <c r="AX18" s="7">
        <v>0.49589699999999998</v>
      </c>
      <c r="AY18">
        <v>71.551900000000003</v>
      </c>
      <c r="AZ18">
        <v>74.786600000000007</v>
      </c>
      <c r="BA18">
        <v>21.379899999999999</v>
      </c>
      <c r="BB18">
        <v>24.8841</v>
      </c>
      <c r="BC18" s="4">
        <v>0.99263699999999999</v>
      </c>
      <c r="BD18" s="7">
        <v>1.276867</v>
      </c>
      <c r="BE18">
        <v>62.592599999999997</v>
      </c>
      <c r="BF18">
        <v>65.656599999999997</v>
      </c>
      <c r="BG18">
        <v>20.065999999999999</v>
      </c>
      <c r="BH18">
        <v>23.951650000000001</v>
      </c>
      <c r="BI18" s="4">
        <v>0.98179499999999997</v>
      </c>
      <c r="BJ18" s="7">
        <v>1.197711</v>
      </c>
      <c r="BK18">
        <v>63.698099999999997</v>
      </c>
      <c r="BL18">
        <v>65.701210000000003</v>
      </c>
      <c r="BM18">
        <v>22.1967</v>
      </c>
      <c r="BN18">
        <v>25.42231</v>
      </c>
      <c r="BO18" s="4">
        <v>0.98768199999999995</v>
      </c>
      <c r="BP18" s="7">
        <v>3.2767620000000002</v>
      </c>
      <c r="BQ18">
        <v>70.451400000000007</v>
      </c>
      <c r="BR18">
        <v>79.065100000000001</v>
      </c>
      <c r="BS18">
        <v>28.457999999999998</v>
      </c>
      <c r="BT18">
        <v>30.863299999999999</v>
      </c>
      <c r="BU18" s="4">
        <v>0.99523799999999996</v>
      </c>
      <c r="BV18" s="7">
        <f t="shared" si="0"/>
        <v>6.9568749999999999E-2</v>
      </c>
      <c r="BW18">
        <f t="shared" si="1"/>
        <v>62.713875000000002</v>
      </c>
      <c r="BX18">
        <f t="shared" si="2"/>
        <v>64.439899999999994</v>
      </c>
      <c r="BY18">
        <f t="shared" si="3"/>
        <v>24.775824999999998</v>
      </c>
      <c r="BZ18">
        <f t="shared" si="4"/>
        <v>27.2882225</v>
      </c>
      <c r="CA18" s="4">
        <f t="shared" si="5"/>
        <v>0.98112850000000007</v>
      </c>
      <c r="CB18" s="7">
        <f t="shared" si="6"/>
        <v>0.28305150000000001</v>
      </c>
      <c r="CC18">
        <f t="shared" si="7"/>
        <v>72.086950000000002</v>
      </c>
      <c r="CD18">
        <f t="shared" si="8"/>
        <v>75.315249999999992</v>
      </c>
      <c r="CE18">
        <f t="shared" si="9"/>
        <v>29.458025000000003</v>
      </c>
      <c r="CF18">
        <f t="shared" si="10"/>
        <v>32.275337499999999</v>
      </c>
      <c r="CG18" s="4">
        <f t="shared" si="11"/>
        <v>0.99147999999999992</v>
      </c>
      <c r="CH18" s="7">
        <f t="shared" si="12"/>
        <v>1.5618092500000003</v>
      </c>
      <c r="CI18">
        <f t="shared" si="13"/>
        <v>67.073499999999996</v>
      </c>
      <c r="CJ18">
        <f t="shared" si="14"/>
        <v>71.302377500000006</v>
      </c>
      <c r="CK18">
        <f t="shared" si="15"/>
        <v>23.025149999999996</v>
      </c>
      <c r="CL18">
        <f t="shared" si="16"/>
        <v>26.280339999999999</v>
      </c>
      <c r="CM18" s="4">
        <f t="shared" si="17"/>
        <v>0.98933800000000005</v>
      </c>
    </row>
    <row r="19" spans="1:91" x14ac:dyDescent="0.35">
      <c r="A19" s="97"/>
      <c r="B19" s="7">
        <v>0.322876</v>
      </c>
      <c r="C19">
        <v>68.464200000000005</v>
      </c>
      <c r="D19">
        <v>71.698899999999995</v>
      </c>
      <c r="E19">
        <v>26.365400000000001</v>
      </c>
      <c r="F19">
        <v>29.02609</v>
      </c>
      <c r="G19" s="4">
        <v>0.99007599999999996</v>
      </c>
      <c r="H19" s="7">
        <v>0.425757</v>
      </c>
      <c r="I19">
        <v>66.685599999999994</v>
      </c>
      <c r="J19">
        <v>70.3185</v>
      </c>
      <c r="K19">
        <v>26.245100000000001</v>
      </c>
      <c r="L19">
        <v>28.00264</v>
      </c>
      <c r="M19" s="4">
        <v>0.99002800000000002</v>
      </c>
      <c r="N19" s="7">
        <v>0.28281200000000001</v>
      </c>
      <c r="O19">
        <v>68.417699999999996</v>
      </c>
      <c r="P19">
        <v>71.188699999999997</v>
      </c>
      <c r="Q19">
        <v>34.626199999999997</v>
      </c>
      <c r="R19">
        <v>37.388350000000003</v>
      </c>
      <c r="S19" s="4">
        <v>0.99303799999999998</v>
      </c>
      <c r="T19" s="7">
        <v>0.113909</v>
      </c>
      <c r="U19">
        <v>75.782700000000006</v>
      </c>
      <c r="V19">
        <v>77.395300000000006</v>
      </c>
      <c r="W19">
        <v>32.223199999999999</v>
      </c>
      <c r="X19">
        <v>33.64049</v>
      </c>
      <c r="Y19" s="4">
        <v>0.99672700000000003</v>
      </c>
      <c r="Z19" s="7">
        <v>0.84015600000000001</v>
      </c>
      <c r="AA19">
        <v>76.679000000000002</v>
      </c>
      <c r="AB19">
        <v>84.140900000000002</v>
      </c>
      <c r="AC19">
        <v>45.827399999999997</v>
      </c>
      <c r="AD19">
        <v>47.146650000000001</v>
      </c>
      <c r="AE19" s="4">
        <v>0.99906799999999996</v>
      </c>
      <c r="AF19" s="7">
        <v>0.871008</v>
      </c>
      <c r="AG19">
        <v>73.232500000000002</v>
      </c>
      <c r="AH19">
        <v>76.768199999999993</v>
      </c>
      <c r="AI19">
        <v>31.314399999999999</v>
      </c>
      <c r="AJ19">
        <v>34.053049999999999</v>
      </c>
      <c r="AK19" s="4">
        <v>0.99422600000000005</v>
      </c>
      <c r="AL19" s="7">
        <v>0.428618</v>
      </c>
      <c r="AM19">
        <v>73.647099999999995</v>
      </c>
      <c r="AN19">
        <v>78.957999999999998</v>
      </c>
      <c r="AO19">
        <v>23.880700000000001</v>
      </c>
      <c r="AP19">
        <v>27.346699999999998</v>
      </c>
      <c r="AQ19" s="4">
        <v>0.99085599999999996</v>
      </c>
      <c r="AR19" s="7">
        <v>1.6729940000000001</v>
      </c>
      <c r="AS19">
        <v>78.343999999999994</v>
      </c>
      <c r="AT19">
        <v>82.790499999999994</v>
      </c>
      <c r="AU19">
        <v>30.944400000000002</v>
      </c>
      <c r="AV19">
        <v>33.29909</v>
      </c>
      <c r="AW19" s="4">
        <v>0.998089</v>
      </c>
      <c r="AX19" s="7">
        <v>0.73642700000000005</v>
      </c>
      <c r="AY19">
        <v>73.550700000000006</v>
      </c>
      <c r="AZ19">
        <v>78.155500000000004</v>
      </c>
      <c r="BA19">
        <v>21.6435</v>
      </c>
      <c r="BB19">
        <v>25.164300000000001</v>
      </c>
      <c r="BC19" s="4">
        <v>0.99395900000000004</v>
      </c>
      <c r="BD19" s="7">
        <v>1.548303</v>
      </c>
      <c r="BE19">
        <v>63.2896</v>
      </c>
      <c r="BF19">
        <v>66.528999999999996</v>
      </c>
      <c r="BG19">
        <v>20.206399999999999</v>
      </c>
      <c r="BH19">
        <v>24.050999999999998</v>
      </c>
      <c r="BI19" s="4">
        <v>0.98258400000000001</v>
      </c>
      <c r="BJ19" s="7">
        <v>4.0841909999999997</v>
      </c>
      <c r="BK19">
        <v>66.723200000000006</v>
      </c>
      <c r="BL19">
        <v>69.190600000000003</v>
      </c>
      <c r="BM19">
        <v>25.381699999999999</v>
      </c>
      <c r="BN19">
        <v>28.118099999999998</v>
      </c>
      <c r="BO19" s="4">
        <v>0.99311700000000003</v>
      </c>
      <c r="BP19" s="7">
        <v>3.315223</v>
      </c>
      <c r="BQ19">
        <v>70.532899999999998</v>
      </c>
      <c r="BR19">
        <v>79.627300000000005</v>
      </c>
      <c r="BS19">
        <v>28.4726</v>
      </c>
      <c r="BT19">
        <v>30.918559999999999</v>
      </c>
      <c r="BU19" s="4">
        <v>0.99531899999999995</v>
      </c>
      <c r="BV19" s="7">
        <f t="shared" si="0"/>
        <v>0.2863385</v>
      </c>
      <c r="BW19">
        <f t="shared" si="1"/>
        <v>69.837549999999993</v>
      </c>
      <c r="BX19">
        <f t="shared" si="2"/>
        <v>72.650350000000003</v>
      </c>
      <c r="BY19">
        <f t="shared" si="3"/>
        <v>29.864975000000001</v>
      </c>
      <c r="BZ19">
        <f t="shared" si="4"/>
        <v>32.0143925</v>
      </c>
      <c r="CA19" s="4">
        <f t="shared" si="5"/>
        <v>0.99246725000000002</v>
      </c>
      <c r="CB19" s="7">
        <f t="shared" si="6"/>
        <v>0.95319399999999999</v>
      </c>
      <c r="CC19">
        <f t="shared" si="7"/>
        <v>75.475650000000002</v>
      </c>
      <c r="CD19">
        <f t="shared" si="8"/>
        <v>80.664400000000001</v>
      </c>
      <c r="CE19">
        <f t="shared" si="9"/>
        <v>32.991724999999995</v>
      </c>
      <c r="CF19">
        <f t="shared" si="10"/>
        <v>35.461372499999996</v>
      </c>
      <c r="CG19" s="4">
        <f t="shared" si="11"/>
        <v>0.99555974999999997</v>
      </c>
      <c r="CH19" s="7">
        <f t="shared" si="12"/>
        <v>2.421036</v>
      </c>
      <c r="CI19">
        <f t="shared" si="13"/>
        <v>68.524100000000004</v>
      </c>
      <c r="CJ19">
        <f t="shared" si="14"/>
        <v>73.375600000000006</v>
      </c>
      <c r="CK19">
        <f t="shared" si="15"/>
        <v>23.92605</v>
      </c>
      <c r="CL19">
        <f t="shared" si="16"/>
        <v>27.062989999999999</v>
      </c>
      <c r="CM19" s="4">
        <f t="shared" si="17"/>
        <v>0.9912447499999999</v>
      </c>
    </row>
    <row r="20" spans="1:91" x14ac:dyDescent="0.35">
      <c r="A20" s="97"/>
      <c r="B20" s="7">
        <v>0.95499999999999996</v>
      </c>
      <c r="C20">
        <v>69.889300000000006</v>
      </c>
      <c r="D20">
        <v>73.3292</v>
      </c>
      <c r="E20">
        <v>29.175899999999999</v>
      </c>
      <c r="F20">
        <v>31.414709999999999</v>
      </c>
      <c r="G20" s="4">
        <v>0.99388799999999999</v>
      </c>
      <c r="H20" s="7">
        <v>1.5741259999999999</v>
      </c>
      <c r="I20">
        <v>69.1126</v>
      </c>
      <c r="J20">
        <v>73.148200000000003</v>
      </c>
      <c r="K20">
        <v>29.634799999999998</v>
      </c>
      <c r="L20">
        <v>31.019590000000001</v>
      </c>
      <c r="M20" s="4">
        <v>0.99394400000000005</v>
      </c>
      <c r="N20" s="7">
        <v>0.685504</v>
      </c>
      <c r="O20">
        <v>70.1327</v>
      </c>
      <c r="P20">
        <v>73.2577</v>
      </c>
      <c r="Q20">
        <v>38.9773</v>
      </c>
      <c r="R20">
        <v>41.21978</v>
      </c>
      <c r="S20" s="4">
        <v>0.99507500000000004</v>
      </c>
      <c r="T20" s="7">
        <v>0.54391900000000004</v>
      </c>
      <c r="U20">
        <v>82.152900000000002</v>
      </c>
      <c r="V20">
        <v>85.546300000000002</v>
      </c>
      <c r="W20">
        <v>40.9876</v>
      </c>
      <c r="X20">
        <v>41.930349999999997</v>
      </c>
      <c r="Y20" s="4">
        <v>0.99946800000000002</v>
      </c>
      <c r="Z20" s="7">
        <v>1.2978350000000001</v>
      </c>
      <c r="AA20">
        <v>76.756200000000007</v>
      </c>
      <c r="AB20">
        <v>84.348200000000006</v>
      </c>
      <c r="AC20">
        <v>46.988100000000003</v>
      </c>
      <c r="AD20">
        <v>48.366849999999999</v>
      </c>
      <c r="AE20" s="4">
        <v>0.99933000000000005</v>
      </c>
      <c r="AF20" s="7">
        <v>3.1322429999999999</v>
      </c>
      <c r="AG20">
        <v>75.168899999999994</v>
      </c>
      <c r="AH20">
        <v>78.011600000000001</v>
      </c>
      <c r="AI20">
        <v>33.412700000000001</v>
      </c>
      <c r="AJ20">
        <v>35.910139999999998</v>
      </c>
      <c r="AK20" s="4">
        <v>0.99643899999999996</v>
      </c>
      <c r="AL20" s="7">
        <v>1.9619409999999999</v>
      </c>
      <c r="AM20">
        <v>77.443709999999996</v>
      </c>
      <c r="AN20">
        <v>82.158500000000004</v>
      </c>
      <c r="AO20">
        <v>27.141279999999998</v>
      </c>
      <c r="AP20">
        <v>30.940899999999999</v>
      </c>
      <c r="AQ20" s="4">
        <v>0.99563000000000001</v>
      </c>
      <c r="AR20" s="7">
        <v>2.481652</v>
      </c>
      <c r="AS20">
        <v>78.828699999999998</v>
      </c>
      <c r="AT20">
        <v>84.4786</v>
      </c>
      <c r="AU20">
        <v>31.490600000000001</v>
      </c>
      <c r="AV20">
        <v>34.03678</v>
      </c>
      <c r="AW20" s="4">
        <v>0.99850700000000003</v>
      </c>
      <c r="AX20" s="7">
        <v>3.9920399999999998</v>
      </c>
      <c r="AY20">
        <v>75.006100000000004</v>
      </c>
      <c r="AZ20">
        <v>81.388000000000005</v>
      </c>
      <c r="BA20">
        <v>23.661799999999999</v>
      </c>
      <c r="BB20">
        <v>27.38081</v>
      </c>
      <c r="BC20" s="4">
        <v>0.99702599999999997</v>
      </c>
      <c r="BD20" s="7">
        <v>4.7881080000000003</v>
      </c>
      <c r="BE20">
        <v>65.409000000000006</v>
      </c>
      <c r="BF20">
        <v>69.775300000000001</v>
      </c>
      <c r="BG20">
        <v>21.283000000000001</v>
      </c>
      <c r="BH20">
        <v>25.253599999999999</v>
      </c>
      <c r="BI20" s="4">
        <v>0.986815</v>
      </c>
      <c r="BJ20" s="7">
        <v>4.912166</v>
      </c>
      <c r="BK20">
        <v>67.078900000000004</v>
      </c>
      <c r="BL20">
        <v>69.626199999999997</v>
      </c>
      <c r="BM20">
        <v>25.990500000000001</v>
      </c>
      <c r="BN20">
        <v>28.63476</v>
      </c>
      <c r="BO20" s="4">
        <v>0.99382099999999995</v>
      </c>
      <c r="BP20" s="7">
        <v>4.0221150000000003</v>
      </c>
      <c r="BQ20">
        <v>70.799300000000002</v>
      </c>
      <c r="BR20">
        <v>81.589600000000004</v>
      </c>
      <c r="BS20">
        <v>29.192399999999999</v>
      </c>
      <c r="BT20">
        <v>31.842099999999999</v>
      </c>
      <c r="BU20" s="4">
        <v>0.99639200000000006</v>
      </c>
      <c r="BV20" s="7">
        <f t="shared" si="0"/>
        <v>0.93963725000000009</v>
      </c>
      <c r="BW20">
        <f t="shared" si="1"/>
        <v>72.821874999999991</v>
      </c>
      <c r="BX20">
        <f t="shared" si="2"/>
        <v>76.320349999999991</v>
      </c>
      <c r="BY20">
        <f t="shared" si="3"/>
        <v>34.693899999999999</v>
      </c>
      <c r="BZ20">
        <f t="shared" si="4"/>
        <v>36.396107499999999</v>
      </c>
      <c r="CA20" s="4">
        <f t="shared" si="5"/>
        <v>0.99559375000000006</v>
      </c>
      <c r="CB20" s="7">
        <f t="shared" si="6"/>
        <v>2.21841775</v>
      </c>
      <c r="CC20">
        <f t="shared" si="7"/>
        <v>77.049377499999991</v>
      </c>
      <c r="CD20">
        <f t="shared" si="8"/>
        <v>82.24922500000001</v>
      </c>
      <c r="CE20">
        <f t="shared" si="9"/>
        <v>34.75817</v>
      </c>
      <c r="CF20">
        <f t="shared" si="10"/>
        <v>37.313667500000001</v>
      </c>
      <c r="CG20" s="4">
        <f t="shared" si="11"/>
        <v>0.9974765000000001</v>
      </c>
      <c r="CH20" s="7">
        <f t="shared" si="12"/>
        <v>4.4286072499999998</v>
      </c>
      <c r="CI20">
        <f t="shared" si="13"/>
        <v>69.573325000000011</v>
      </c>
      <c r="CJ20">
        <f t="shared" si="14"/>
        <v>75.594774999999998</v>
      </c>
      <c r="CK20">
        <f t="shared" si="15"/>
        <v>25.031925000000001</v>
      </c>
      <c r="CL20">
        <f t="shared" si="16"/>
        <v>28.277817499999998</v>
      </c>
      <c r="CM20" s="4">
        <f t="shared" si="17"/>
        <v>0.99351350000000005</v>
      </c>
    </row>
    <row r="21" spans="1:91" x14ac:dyDescent="0.35">
      <c r="A21" s="97"/>
      <c r="B21" s="7">
        <v>2.1757140000000001</v>
      </c>
      <c r="C21">
        <v>70.372900000000001</v>
      </c>
      <c r="D21">
        <v>73.705699999999993</v>
      </c>
      <c r="E21">
        <v>32.224899999999998</v>
      </c>
      <c r="F21">
        <v>34.157580000000003</v>
      </c>
      <c r="G21" s="4">
        <v>0.99609800000000004</v>
      </c>
      <c r="H21" s="7">
        <v>2.5147020000000002</v>
      </c>
      <c r="I21">
        <v>69.756600000000006</v>
      </c>
      <c r="J21">
        <v>74.046999999999997</v>
      </c>
      <c r="K21">
        <v>30.721599999999999</v>
      </c>
      <c r="L21">
        <v>32.050739999999998</v>
      </c>
      <c r="M21" s="4">
        <v>0.99509599999999998</v>
      </c>
      <c r="N21" s="7">
        <v>1.0494330000000001</v>
      </c>
      <c r="O21">
        <v>71.906499999999994</v>
      </c>
      <c r="P21">
        <v>76.339699999999993</v>
      </c>
      <c r="Q21">
        <v>40.981000000000002</v>
      </c>
      <c r="R21">
        <v>43.142800000000001</v>
      </c>
      <c r="S21" s="4">
        <v>0.99592700000000001</v>
      </c>
      <c r="T21" s="7">
        <v>1.6571720000000001</v>
      </c>
      <c r="U21">
        <v>84.891499999999994</v>
      </c>
      <c r="V21">
        <v>89.567700000000002</v>
      </c>
      <c r="W21">
        <v>45.0899</v>
      </c>
      <c r="X21">
        <v>46.113639999999997</v>
      </c>
      <c r="Y21" s="4">
        <v>0.99978999999999996</v>
      </c>
      <c r="Z21" s="7">
        <v>1.7876920000000001</v>
      </c>
      <c r="AA21">
        <v>76.839100000000002</v>
      </c>
      <c r="AB21">
        <v>84.630399999999995</v>
      </c>
      <c r="AC21">
        <v>47.4998</v>
      </c>
      <c r="AD21">
        <v>48.955539999999999</v>
      </c>
      <c r="AE21" s="4">
        <v>0.999448</v>
      </c>
      <c r="AF21" s="7">
        <v>3.933646</v>
      </c>
      <c r="AG21">
        <v>75.523099999999999</v>
      </c>
      <c r="AH21">
        <v>79.298400000000001</v>
      </c>
      <c r="AI21">
        <v>33.821300000000001</v>
      </c>
      <c r="AJ21">
        <v>36.285710000000002</v>
      </c>
      <c r="AK21" s="4">
        <v>0.99713399999999996</v>
      </c>
      <c r="AL21" s="7">
        <v>3.4342700000000002</v>
      </c>
      <c r="AM21">
        <v>77.915750000000003</v>
      </c>
      <c r="AN21">
        <v>83.409400000000005</v>
      </c>
      <c r="AO21">
        <v>28.468499999999999</v>
      </c>
      <c r="AP21">
        <v>32.140970000000003</v>
      </c>
      <c r="AQ21" s="4">
        <v>0.99704199999999998</v>
      </c>
      <c r="AR21" s="7">
        <v>5.8416689999999996</v>
      </c>
      <c r="AS21">
        <v>80.371300000000005</v>
      </c>
      <c r="AT21">
        <v>85.926299999999998</v>
      </c>
      <c r="AU21">
        <v>32.5764</v>
      </c>
      <c r="AV21">
        <v>35.224829999999997</v>
      </c>
      <c r="AW21" s="4">
        <v>0.99899300000000002</v>
      </c>
      <c r="AX21" s="7">
        <v>4.6162929999999998</v>
      </c>
      <c r="AY21">
        <v>76.979200000000006</v>
      </c>
      <c r="AZ21">
        <v>83.022400000000005</v>
      </c>
      <c r="BA21">
        <v>24.041599999999999</v>
      </c>
      <c r="BB21">
        <v>27.687449999999998</v>
      </c>
      <c r="BC21" s="4">
        <v>0.99758899999999995</v>
      </c>
      <c r="BD21" s="7">
        <v>9.7051940000000005</v>
      </c>
      <c r="BE21">
        <v>65.964100000000002</v>
      </c>
      <c r="BF21">
        <v>71.045599999999993</v>
      </c>
      <c r="BG21">
        <v>22.6082</v>
      </c>
      <c r="BH21">
        <v>26.395530000000001</v>
      </c>
      <c r="BI21" s="4">
        <v>0.98978699999999997</v>
      </c>
      <c r="BJ21" s="7">
        <v>9.1025550000000006</v>
      </c>
      <c r="BK21">
        <v>66.951700000000002</v>
      </c>
      <c r="BL21">
        <v>69.643199999999993</v>
      </c>
      <c r="BM21">
        <v>25.343800000000002</v>
      </c>
      <c r="BN21">
        <v>28.251100000000001</v>
      </c>
      <c r="BO21" s="4">
        <v>0.99436000000000002</v>
      </c>
      <c r="BP21" s="7">
        <v>6.9394330000000002</v>
      </c>
      <c r="BQ21">
        <v>75.088899999999995</v>
      </c>
      <c r="BR21">
        <v>82.698700000000002</v>
      </c>
      <c r="BS21">
        <v>29.514299999999999</v>
      </c>
      <c r="BT21">
        <v>32.220059999999997</v>
      </c>
      <c r="BU21" s="4">
        <v>0.99652600000000002</v>
      </c>
      <c r="BV21" s="7">
        <f t="shared" si="0"/>
        <v>1.8492552500000001</v>
      </c>
      <c r="BW21">
        <f t="shared" si="1"/>
        <v>74.231875000000002</v>
      </c>
      <c r="BX21">
        <f t="shared" si="2"/>
        <v>78.415024999999986</v>
      </c>
      <c r="BY21">
        <f t="shared" si="3"/>
        <v>37.254349999999995</v>
      </c>
      <c r="BZ21">
        <f t="shared" si="4"/>
        <v>38.866189999999996</v>
      </c>
      <c r="CA21" s="4">
        <f t="shared" si="5"/>
        <v>0.99672775000000002</v>
      </c>
      <c r="CB21" s="7">
        <f t="shared" si="6"/>
        <v>3.7493192499999997</v>
      </c>
      <c r="CC21">
        <f t="shared" si="7"/>
        <v>77.662312500000013</v>
      </c>
      <c r="CD21">
        <f t="shared" si="8"/>
        <v>83.316125</v>
      </c>
      <c r="CE21">
        <f t="shared" si="9"/>
        <v>35.591500000000003</v>
      </c>
      <c r="CF21">
        <f t="shared" si="10"/>
        <v>38.151762499999997</v>
      </c>
      <c r="CG21" s="4">
        <f t="shared" si="11"/>
        <v>0.99815425000000002</v>
      </c>
      <c r="CH21" s="7">
        <f t="shared" si="12"/>
        <v>7.5908687500000003</v>
      </c>
      <c r="CI21">
        <f t="shared" si="13"/>
        <v>71.245975000000001</v>
      </c>
      <c r="CJ21">
        <f t="shared" si="14"/>
        <v>76.602474999999998</v>
      </c>
      <c r="CK21">
        <f t="shared" si="15"/>
        <v>25.376974999999998</v>
      </c>
      <c r="CL21">
        <f t="shared" si="16"/>
        <v>28.638535000000001</v>
      </c>
      <c r="CM21" s="4">
        <f t="shared" si="17"/>
        <v>0.9945655000000001</v>
      </c>
    </row>
    <row r="22" spans="1:91" x14ac:dyDescent="0.35">
      <c r="A22" s="98"/>
      <c r="B22" s="9">
        <v>3.051501</v>
      </c>
      <c r="C22" s="5">
        <v>71.271000000000001</v>
      </c>
      <c r="D22" s="5">
        <v>74.218900000000005</v>
      </c>
      <c r="E22" s="5">
        <v>32.748100000000001</v>
      </c>
      <c r="F22" s="5">
        <v>34.600540000000002</v>
      </c>
      <c r="G22" s="6">
        <v>0.99711000000000005</v>
      </c>
      <c r="H22" s="9">
        <v>4.5988309999999997</v>
      </c>
      <c r="I22" s="5">
        <v>70.3857</v>
      </c>
      <c r="J22" s="5">
        <v>74.855699999999999</v>
      </c>
      <c r="K22" s="5">
        <v>31.722999999999999</v>
      </c>
      <c r="L22" s="5">
        <v>33.061399999999999</v>
      </c>
      <c r="M22" s="6">
        <v>0.99619100000000005</v>
      </c>
      <c r="N22" s="9">
        <v>1.673006</v>
      </c>
      <c r="O22" s="5">
        <v>72.752700000000004</v>
      </c>
      <c r="P22" s="5">
        <v>77.482799999999997</v>
      </c>
      <c r="Q22" s="5">
        <v>43.0182</v>
      </c>
      <c r="R22" s="5">
        <v>45.071440000000003</v>
      </c>
      <c r="S22" s="6">
        <v>0.99681299999999995</v>
      </c>
      <c r="T22" s="9">
        <v>2.0022549999999999</v>
      </c>
      <c r="U22" s="5">
        <v>85.133899999999997</v>
      </c>
      <c r="V22" s="5">
        <v>89.914000000000001</v>
      </c>
      <c r="W22" s="5">
        <v>45.651400000000002</v>
      </c>
      <c r="X22" s="5">
        <v>46.668410000000002</v>
      </c>
      <c r="Y22" s="6">
        <v>0.99981100000000001</v>
      </c>
      <c r="Z22" s="9">
        <v>2.224933</v>
      </c>
      <c r="AA22" s="5">
        <v>76.891199999999998</v>
      </c>
      <c r="AB22" s="5">
        <v>84.839600000000004</v>
      </c>
      <c r="AC22" s="5">
        <v>47.8065</v>
      </c>
      <c r="AD22" s="5">
        <v>49.303989999999999</v>
      </c>
      <c r="AE22" s="6">
        <v>0.99951400000000001</v>
      </c>
      <c r="AF22" s="9">
        <v>5.8187680000000004</v>
      </c>
      <c r="AG22" s="5">
        <v>75.757300000000001</v>
      </c>
      <c r="AH22" s="5">
        <v>80.266300000000001</v>
      </c>
      <c r="AI22" s="5">
        <v>34.310499999999998</v>
      </c>
      <c r="AJ22" s="5">
        <v>36.865279999999998</v>
      </c>
      <c r="AK22" s="6">
        <v>0.99785199999999996</v>
      </c>
      <c r="AL22" s="9">
        <v>5.8104060000000004</v>
      </c>
      <c r="AM22" s="5">
        <v>79.770899999999997</v>
      </c>
      <c r="AN22" s="5">
        <v>83.864999999999995</v>
      </c>
      <c r="AO22" s="5">
        <v>28.625599999999999</v>
      </c>
      <c r="AP22" s="5">
        <v>32.32443</v>
      </c>
      <c r="AQ22" s="6">
        <v>0.99772099999999997</v>
      </c>
      <c r="AR22" s="9">
        <v>8.4077330000000003</v>
      </c>
      <c r="AS22" s="5">
        <v>80.803600000000003</v>
      </c>
      <c r="AT22" s="5">
        <v>86.666899999999998</v>
      </c>
      <c r="AU22" s="5">
        <v>33.108499999999999</v>
      </c>
      <c r="AV22" s="5">
        <v>36.025489999999998</v>
      </c>
      <c r="AW22" s="6">
        <v>0.999197</v>
      </c>
      <c r="AX22" s="9">
        <v>12.487590000000001</v>
      </c>
      <c r="AY22" s="5">
        <v>80.061800000000005</v>
      </c>
      <c r="AZ22" s="5">
        <v>83.842100000000002</v>
      </c>
      <c r="BA22" s="5">
        <v>25.921199999999999</v>
      </c>
      <c r="BB22" s="5">
        <v>29.383430000000001</v>
      </c>
      <c r="BC22" s="6">
        <v>0.998753</v>
      </c>
      <c r="BD22" s="9">
        <v>13.12124</v>
      </c>
      <c r="BE22" s="5">
        <v>66.379000000000005</v>
      </c>
      <c r="BF22" s="5">
        <v>71.866299999999995</v>
      </c>
      <c r="BG22" s="5">
        <v>23.643599999999999</v>
      </c>
      <c r="BH22" s="5">
        <v>27.237780000000001</v>
      </c>
      <c r="BI22" s="6">
        <v>0.99227900000000002</v>
      </c>
      <c r="BJ22" s="9">
        <v>11.85514</v>
      </c>
      <c r="BK22" s="5">
        <v>68.144199999999998</v>
      </c>
      <c r="BL22" s="5">
        <v>71.090900000000005</v>
      </c>
      <c r="BM22" s="5">
        <v>25.817</v>
      </c>
      <c r="BN22" s="5">
        <v>28.75639</v>
      </c>
      <c r="BO22" s="6">
        <v>0.99552700000000005</v>
      </c>
      <c r="BP22" s="9">
        <v>9.5850969999999993</v>
      </c>
      <c r="BQ22" s="5">
        <v>75.734800000000007</v>
      </c>
      <c r="BR22" s="5">
        <v>85.443200000000004</v>
      </c>
      <c r="BS22" s="5">
        <v>32.042499999999997</v>
      </c>
      <c r="BT22" s="5">
        <v>34.732349999999997</v>
      </c>
      <c r="BU22" s="6">
        <v>0.99804800000000005</v>
      </c>
      <c r="BV22" s="9">
        <f t="shared" si="0"/>
        <v>2.8313982499999999</v>
      </c>
      <c r="BW22" s="5">
        <f t="shared" si="1"/>
        <v>74.885824999999997</v>
      </c>
      <c r="BX22" s="5">
        <f t="shared" si="2"/>
        <v>79.117850000000004</v>
      </c>
      <c r="BY22" s="5">
        <f t="shared" si="3"/>
        <v>38.285174999999995</v>
      </c>
      <c r="BZ22" s="5">
        <f t="shared" si="4"/>
        <v>39.850447500000001</v>
      </c>
      <c r="CA22" s="6">
        <f t="shared" si="5"/>
        <v>0.99748124999999999</v>
      </c>
      <c r="CB22" s="9">
        <f t="shared" si="6"/>
        <v>5.5654599999999999</v>
      </c>
      <c r="CC22" s="5">
        <f t="shared" si="7"/>
        <v>78.305750000000003</v>
      </c>
      <c r="CD22" s="5">
        <f t="shared" si="8"/>
        <v>83.909450000000007</v>
      </c>
      <c r="CE22" s="5">
        <f t="shared" si="9"/>
        <v>35.962775000000001</v>
      </c>
      <c r="CF22" s="5">
        <f t="shared" si="10"/>
        <v>38.629797500000002</v>
      </c>
      <c r="CG22" s="6">
        <f t="shared" si="11"/>
        <v>0.99857099999999999</v>
      </c>
      <c r="CH22" s="9">
        <f t="shared" si="12"/>
        <v>11.762266749999998</v>
      </c>
      <c r="CI22" s="5">
        <f t="shared" si="13"/>
        <v>72.579949999999997</v>
      </c>
      <c r="CJ22" s="5">
        <f t="shared" si="14"/>
        <v>78.060625000000002</v>
      </c>
      <c r="CK22" s="5">
        <f t="shared" si="15"/>
        <v>26.856074999999997</v>
      </c>
      <c r="CL22" s="5">
        <f t="shared" si="16"/>
        <v>30.027487499999999</v>
      </c>
      <c r="CM22" s="6">
        <f t="shared" si="17"/>
        <v>0.99615174999999989</v>
      </c>
    </row>
    <row r="24" spans="1:91" x14ac:dyDescent="0.35">
      <c r="A24" t="s">
        <v>138</v>
      </c>
    </row>
    <row r="25" spans="1:91" x14ac:dyDescent="0.35">
      <c r="A25" t="s">
        <v>162</v>
      </c>
    </row>
    <row r="26" spans="1:91" x14ac:dyDescent="0.35">
      <c r="A26" s="108" t="str">
        <f>A3</f>
        <v>JPEG PCC VM v4.1</v>
      </c>
      <c r="B26" t="s">
        <v>17</v>
      </c>
      <c r="C26" s="10" cm="1">
        <f t="array" ref="C26">bdRateExtend(B$11:B$16,C$11:C$16,B3:B6,C3:C6)</f>
        <v>-0.67175211859115902</v>
      </c>
      <c r="D26" s="10" cm="1">
        <f t="array" ref="D26">bdRateExtend(B$11:B$16,D$11:D$16,B3:B6,D3:D6)</f>
        <v>-0.41181858512849912</v>
      </c>
      <c r="E26" s="10" cm="1">
        <f t="array" ref="E26">bdRateExtend(B$11:B$16,E$11:E$16,B3:B6,E3:E6)</f>
        <v>3.250206418277668E-2</v>
      </c>
      <c r="F26" s="10" cm="1">
        <f t="array" ref="F26">bdRateExtend(B$11:B$16,F$11:F$16,B3:B6,F3:F6)</f>
        <v>0.12448095864823938</v>
      </c>
      <c r="G26" s="10" cm="1">
        <f t="array" ref="G26">bdRateExtend(B$11:B$16,G$11:G$16,B3:B6,G3:G6)</f>
        <v>-0.11700787990623363</v>
      </c>
      <c r="I26" s="10" cm="1">
        <f t="array" ref="I26">bdRateExtend(H$11:H$16,I$11:I$16,H3:H6,I3:I6)</f>
        <v>-0.87925396924640664</v>
      </c>
      <c r="J26" s="10" cm="1">
        <f t="array" ref="J26">bdRateExtend(H$11:H$16,J$11:J$16,H3:H6,J3:J6)</f>
        <v>-0.81990012906175758</v>
      </c>
      <c r="K26" s="10" cm="1">
        <f t="array" ref="K26">bdRateExtend(H$11:H$16,K$11:K$16,H3:H6,K3:K6)</f>
        <v>0.15889537759688865</v>
      </c>
      <c r="L26" s="10" cm="1">
        <f t="array" ref="L26">bdRateExtend(H$11:H$16,L$11:L$16,H3:H6,L3:L6)</f>
        <v>0.45327934903031553</v>
      </c>
      <c r="M26" s="10" cm="1">
        <f t="array" ref="M26">bdRateExtend(H$11:H$16,M$11:M$16,H3:H6,M3:M6)</f>
        <v>-6.6197589290264647E-2</v>
      </c>
      <c r="O26" s="10" cm="1">
        <f t="array" ref="O26">bdRateExtend(N$11:N$16,O$11:O$16,N3:N6,O3:O6)</f>
        <v>-0.76299354532915054</v>
      </c>
      <c r="P26" s="10" cm="1">
        <f t="array" ref="P26">bdRateExtend(N$11:N$16,P$11:P$16,N3:N6,P3:P6)</f>
        <v>-0.62080268155675244</v>
      </c>
      <c r="Q26" s="10" cm="1">
        <f t="array" ref="Q26">bdRateExtend(N$11:N$16,Q$11:Q$16,N3:N6,Q3:Q6)</f>
        <v>-0.36137896283465687</v>
      </c>
      <c r="R26" s="10" cm="1">
        <f t="array" ref="R26">bdRateExtend(N$11:N$16,R$11:R$16,N3:N6,R3:R6)</f>
        <v>-0.29551251006149737</v>
      </c>
      <c r="S26" s="10" cm="1">
        <f t="array" ref="S26">bdRateExtend(N$11:N$16,S$11:S$16,N3:N6,S3:S6)</f>
        <v>-0.45996348645121454</v>
      </c>
      <c r="U26" s="10" cm="1">
        <f t="array" ref="U26">bdRateExtend(T$11:T$16,U$11:U$16,T3:T6,U3:U6)</f>
        <v>-0.9389757550691874</v>
      </c>
      <c r="V26" s="10" cm="1">
        <f t="array" ref="V26">bdRateExtend(T$11:T$16,V$11:V$16,T3:T6,V3:V6)</f>
        <v>-0.86960619729998623</v>
      </c>
      <c r="W26" s="10" cm="1">
        <f t="array" ref="W26">bdRateExtend(T$11:T$16,W$11:W$16,T3:T6,W3:W6)</f>
        <v>-0.49287969084723227</v>
      </c>
      <c r="X26" s="10" cm="1">
        <f t="array" ref="X26">bdRateExtend(T$11:T$16,X$11:X$16,T3:T6,X3:X6)</f>
        <v>-0.36412562638842949</v>
      </c>
      <c r="Y26" s="10" cm="1">
        <f t="array" ref="Y26">bdRateExtend(T$11:T$16,Y$11:Y$16,T3:T6,Y3:Y6)</f>
        <v>-0.41767071934361988</v>
      </c>
      <c r="AA26" s="10" cm="1">
        <f t="array" ref="AA26">bdRateExtend(Z$11:Z$16,AA$11:AA$16,Z3:Z6,AA3:AA6)</f>
        <v>-0.72163349342237526</v>
      </c>
      <c r="AB26" s="10" cm="1">
        <f t="array" ref="AB26">bdRateExtend(Z$11:Z$16,AB$11:AB$16,Z3:Z6,AB3:AB6)</f>
        <v>-0.83569567160889768</v>
      </c>
      <c r="AC26" s="10" cm="1">
        <f t="array" ref="AC26">bdRateExtend(Z$11:Z$16,AC$11:AC$16,Z3:Z6,AC3:AC6)</f>
        <v>-0.52982791857349931</v>
      </c>
      <c r="AD26" s="10" cm="1">
        <f t="array" ref="AD26">bdRateExtend(Z$11:Z$16,AD$11:AD$16,Z3:Z6,AD3:AD6)</f>
        <v>-0.37907358685525572</v>
      </c>
      <c r="AE26" s="10" cm="1">
        <f t="array" ref="AE26">bdRateExtend(Z$11:Z$16,AE$11:AE$16,Z3:Z6,AE3:AE6)</f>
        <v>-0.58146520460707585</v>
      </c>
      <c r="AG26" s="10" cm="1">
        <f t="array" ref="AG26">bdRateExtend(AF$11:AF$16,AG$11:AG$16,AF3:AF6,AG3:AG6)</f>
        <v>-0.22888724818488515</v>
      </c>
      <c r="AH26" s="10" cm="1">
        <f t="array" ref="AH26">bdRateExtend(AF$11:AF$16,AH$11:AH$16,AF3:AF6,AH3:AH6)</f>
        <v>-0.29040613051548303</v>
      </c>
      <c r="AI26" s="10" cm="1">
        <f t="array" ref="AI26">bdRateExtend(AF$11:AF$16,AI$11:AI$16,AF3:AF6,AI3:AI6)</f>
        <v>0.21084778259189396</v>
      </c>
      <c r="AJ26" s="10" cm="1">
        <f t="array" ref="AJ26">bdRateExtend(AF$11:AF$16,AJ$11:AJ$16,AF3:AF6,AJ3:AJ6)</f>
        <v>0.18362155223626475</v>
      </c>
      <c r="AK26" s="10" cm="1">
        <f t="array" ref="AK26">bdRateExtend(AF$11:AF$16,AK$11:AK$16,AF3:AF6,AK3:AK6)</f>
        <v>4.0985389551209561E-2</v>
      </c>
      <c r="AM26" s="10" cm="1">
        <f t="array" ref="AM26">bdRateExtend(AL$11:AL$16,AM$11:AM$16,AL3:AL6,AM3:AM6)</f>
        <v>-7.1838515355599597E-2</v>
      </c>
      <c r="AN26" s="10" cm="1">
        <f t="array" ref="AN26">bdRateExtend(AL$11:AL$16,AN$11:AN$16,AL3:AL6,AN3:AN6)</f>
        <v>0.10643458806254524</v>
      </c>
      <c r="AO26" s="10" cm="1">
        <f t="array" ref="AO26">bdRateExtend(AL$11:AL$16,AO$11:AO$16,AL3:AL6,AO3:AO6)</f>
        <v>-7.7201740157792798E-2</v>
      </c>
      <c r="AP26" s="10" cm="1">
        <f t="array" ref="AP26">bdRateExtend(AL$11:AL$16,AP$11:AP$16,AL3:AL6,AP3:AP6)</f>
        <v>0.22262461462704541</v>
      </c>
      <c r="AQ26" s="10" cm="1">
        <f t="array" ref="AQ26">bdRateExtend(AL$11:AL$16,AQ$11:AQ$16,AL3:AL6,AQ3:AQ6)</f>
        <v>0.62338457413242976</v>
      </c>
      <c r="AS26" s="10" cm="1">
        <f t="array" ref="AS26">bdRateExtend(AR$11:AR$16,AS$11:AS$16,AR3:AR6,AS3:AS6)</f>
        <v>0.25032194983590395</v>
      </c>
      <c r="AT26" s="10" cm="1">
        <f t="array" ref="AT26">bdRateExtend(AR$11:AR$16,AT$11:AT$16,AR3:AR6,AT3:AT6)</f>
        <v>-0.12998135721937376</v>
      </c>
      <c r="AU26" s="10" cm="1">
        <f t="array" ref="AU26">bdRateExtend(AR$11:AR$16,AU$11:AU$16,AR3:AR6,AU3:AU6)</f>
        <v>-0.31631491489751962</v>
      </c>
      <c r="AV26" s="10" cm="1">
        <f t="array" ref="AV26">bdRateExtend(AR$11:AR$16,AV$11:AV$16,AR3:AR6,AV3:AV6)</f>
        <v>-0.35936237470285559</v>
      </c>
      <c r="AW26" s="10" cm="1">
        <f t="array" ref="AW26">bdRateExtend(AR$11:AR$16,AW$11:AW$16,AR3:AR6,AW3:AW6)</f>
        <v>0.10012550166066614</v>
      </c>
      <c r="AY26" s="10" cm="1">
        <f t="array" ref="AY26">bdRateExtend(AX$11:AX$16,AY$11:AY$16,AX3:AX6,AY3:AY6)</f>
        <v>-0.33363378647416608</v>
      </c>
      <c r="AZ26" s="10" cm="1">
        <f t="array" ref="AZ26">bdRateExtend(AX$11:AX$16,AZ$11:AZ$16,AX3:AX6,AZ3:AZ6)</f>
        <v>-0.19247409910077296</v>
      </c>
      <c r="BA26" s="10" cm="1">
        <f t="array" ref="BA26">bdRateExtend(AX$11:AX$16,BA$11:BA$16,AX3:AX6,BA3:BA6)</f>
        <v>0.11248077428958925</v>
      </c>
      <c r="BB26" s="10" cm="1">
        <f t="array" ref="BB26">bdRateExtend(AX$11:AX$16,BB$11:BB$16,AX3:AX6,BB3:BB6)</f>
        <v>0.2898921162700947</v>
      </c>
      <c r="BC26" s="10" cm="1">
        <f t="array" ref="BC26">bdRateExtend(AX$11:AX$16,BC$11:BC$16,AX3:AX6,BC3:BC6)</f>
        <v>0.15605893590984476</v>
      </c>
      <c r="BE26" s="10" cm="1">
        <f t="array" ref="BE26">bdRateExtend(BD$11:BD$16,BE$11:BE$16,BD3:BD6,BE3:BE6)</f>
        <v>0.48320822293095445</v>
      </c>
      <c r="BF26" s="10" cm="1">
        <f t="array" ref="BF26">bdRateExtend(BD$11:BD$16,BF$11:BF$16,BD3:BD6,BF3:BF6)</f>
        <v>0.74323069756728111</v>
      </c>
      <c r="BG26" s="10" cm="1">
        <f t="array" ref="BG26">bdRateExtend(BD$11:BD$16,BG$11:BG$16,BD3:BD6,BG3:BG6)</f>
        <v>0.64353295266266808</v>
      </c>
      <c r="BH26" s="10" cm="1">
        <f t="array" ref="BH26">bdRateExtend(BD$11:BD$16,BH$11:BH$16,BD3:BD6,BH3:BH6)</f>
        <v>0.47597003829010265</v>
      </c>
      <c r="BI26" s="10" cm="1">
        <f t="array" ref="BI26">bdRateExtend(BD$11:BD$16,BI$11:BI$16,BD3:BD6,BI3:BI6)</f>
        <v>0.11232800994033831</v>
      </c>
      <c r="BK26" s="10" cm="1">
        <f t="array" ref="BK26">bdRateExtend(BJ$11:BJ$16,BK$11:BK$16,BJ3:BJ6,BK3:BK6)</f>
        <v>0.75974572322093037</v>
      </c>
      <c r="BL26" s="10" cm="1">
        <f t="array" ref="BL26">bdRateExtend(BJ$11:BJ$16,BL$11:BL$16,BJ3:BJ6,BL3:BL6)</f>
        <v>0.96614871560616611</v>
      </c>
      <c r="BM26" s="10" cm="1">
        <f t="array" ref="BM26">bdRateExtend(BJ$11:BJ$16,BM$11:BM$16,BJ3:BJ6,BM3:BM6)</f>
        <v>0.61710019135494742</v>
      </c>
      <c r="BN26" s="10" cm="1">
        <f t="array" ref="BN26">bdRateExtend(BJ$11:BJ$16,BN$11:BN$16,BJ3:BJ6,BN3:BN6)</f>
        <v>0.59543824079434726</v>
      </c>
      <c r="BO26" s="10" cm="1">
        <f t="array" ref="BO26">bdRateExtend(BJ$11:BJ$16,BO$11:BO$16,BJ3:BJ6,BO3:BO6)</f>
        <v>0.77602670570849575</v>
      </c>
      <c r="BQ26" s="10" cm="1">
        <f t="array" ref="BQ26">bdRateExtend(BP$11:BP$16,BQ$11:BQ$16,BP3:BP6,BQ3:BQ6)</f>
        <v>1.0265606565471161</v>
      </c>
      <c r="BR26" s="10" cm="1">
        <f t="array" ref="BR26">bdRateExtend(BP$11:BP$16,BR$11:BR$16,BP3:BP6,BR3:BR6)</f>
        <v>-8.8759368009047934E-2</v>
      </c>
      <c r="BS26" s="10" cm="1">
        <f t="array" ref="BS26">bdRateExtend(BP$11:BP$16,BS$11:BS$16,BP3:BP6,BS3:BS6)</f>
        <v>1.6896076312607109</v>
      </c>
      <c r="BT26" s="10" cm="1">
        <f t="array" ref="BT26">bdRateExtend(BP$11:BP$16,BT$11:BT$16,BP3:BP6,BT3:BT6)</f>
        <v>1.3456900505506542</v>
      </c>
      <c r="BU26" s="10" cm="1">
        <f t="array" ref="BU26">bdRateExtend(BP$11:BP$16,BU$11:BU$16,BP3:BP6,BU3:BU6)</f>
        <v>0.45940984042425415</v>
      </c>
      <c r="BW26" s="10"/>
      <c r="BX26" s="10"/>
      <c r="BY26" s="10"/>
      <c r="BZ26" s="10"/>
      <c r="CA26" s="10"/>
      <c r="CC26" s="10"/>
      <c r="CD26" s="10"/>
      <c r="CE26" s="10"/>
      <c r="CF26" s="10"/>
      <c r="CG26" s="10"/>
      <c r="CI26" s="10"/>
      <c r="CJ26" s="10"/>
      <c r="CK26" s="10"/>
      <c r="CL26" s="10"/>
      <c r="CM26" s="10"/>
    </row>
    <row r="27" spans="1:91" x14ac:dyDescent="0.35">
      <c r="A27" s="108"/>
      <c r="B27" t="s">
        <v>18</v>
      </c>
      <c r="C27" s="1" cm="1">
        <f t="array" ref="C27">bdPSNRExtend(B$11:B$16,C$11:C$16,B3:B6,C3:C6)</f>
        <v>4.6451471861466196</v>
      </c>
      <c r="D27" s="1" cm="1">
        <f t="array" ref="D27">bdPSNRExtend(B$11:B$16,D$11:D$16,B3:B6,D3:D6)</f>
        <v>2.9909394030749792</v>
      </c>
      <c r="E27" s="1" cm="1">
        <f t="array" ref="E27">bdPSNRExtend(B$11:B$16,E$11:E$16,B3:B6,E3:E6)</f>
        <v>-0.3214824450379884</v>
      </c>
      <c r="F27" s="1" cm="1">
        <f t="array" ref="F27">bdPSNRExtend(B$11:B$16,F$11:F$16,B3:B6,F3:F6)</f>
        <v>-0.51702557305633379</v>
      </c>
      <c r="G27" s="1" cm="1">
        <f t="array" ref="G27">bdPSNRExtend(B$11:B$16,G$11:G$16,B3:B6,G3:G6)</f>
        <v>9.7990969425260695E-4</v>
      </c>
      <c r="I27" s="1" cm="1">
        <f t="array" ref="I27">bdPSNRExtend(H$11:H$16,I$11:I$16,H3:H6,I3:I6)</f>
        <v>6.4634119495988047</v>
      </c>
      <c r="J27" s="1" cm="1">
        <f t="array" ref="J27">bdPSNRExtend(H$11:H$16,J$11:J$16,H3:H6,J3:J6)</f>
        <v>5.532652290552817</v>
      </c>
      <c r="K27" s="1" cm="1">
        <f t="array" ref="K27">bdPSNRExtend(H$11:H$16,K$11:K$16,H3:H6,K3:K6)</f>
        <v>-0.60866261815637646</v>
      </c>
      <c r="L27" s="1" cm="1">
        <f t="array" ref="L27">bdPSNRExtend(H$11:H$16,L$11:L$16,H3:H6,L3:L6)</f>
        <v>-1.1168250896393948</v>
      </c>
      <c r="M27" s="1" cm="1">
        <f t="array" ref="M27">bdPSNRExtend(H$11:H$16,M$11:M$16,H3:H6,M3:M6)</f>
        <v>1.6180283550855032E-6</v>
      </c>
      <c r="O27" s="1" cm="1">
        <f t="array" ref="O27">bdPSNRExtend(N$11:N$16,O$11:O$16,N3:N6,O3:O6)</f>
        <v>6.7323034561195536</v>
      </c>
      <c r="P27" s="1" cm="1">
        <f t="array" ref="P27">bdPSNRExtend(N$11:N$16,P$11:P$16,N3:N6,P3:P6)</f>
        <v>5.3409787787207401</v>
      </c>
      <c r="Q27" s="1" cm="1">
        <f t="array" ref="Q27">bdPSNRExtend(N$11:N$16,Q$11:Q$16,N3:N6,Q3:Q6)</f>
        <v>2.062543042530836</v>
      </c>
      <c r="R27" s="1" cm="1">
        <f t="array" ref="R27">bdPSNRExtend(N$11:N$16,R$11:R$16,N3:N6,R3:R6)</f>
        <v>1.5052655003501323</v>
      </c>
      <c r="S27" s="1" cm="1">
        <f t="array" ref="S27">bdPSNRExtend(N$11:N$16,S$11:S$16,N3:N6,S3:S6)</f>
        <v>3.4223653508232599E-3</v>
      </c>
      <c r="U27" s="1" cm="1">
        <f t="array" ref="U27">bdPSNRExtend(T$11:T$16,U$11:U$16,T3:T6,U3:U6)</f>
        <v>9.4137237576269897</v>
      </c>
      <c r="V27" s="1" cm="1">
        <f t="array" ref="V27">bdPSNRExtend(T$11:T$16,V$11:V$16,T3:T6,V3:V6)</f>
        <v>8.2633049553688664</v>
      </c>
      <c r="W27" s="1" cm="1">
        <f t="array" ref="W27">bdPSNRExtend(T$11:T$16,W$11:W$16,T3:T6,W3:W6)</f>
        <v>2.8752524650060702</v>
      </c>
      <c r="X27" s="1" cm="1">
        <f t="array" ref="X27">bdPSNRExtend(T$11:T$16,X$11:X$16,T3:T6,X3:X6)</f>
        <v>1.9026281170867438</v>
      </c>
      <c r="Y27" s="1" cm="1">
        <f t="array" ref="Y27">bdPSNRExtend(T$11:T$16,Y$11:Y$16,T3:T6,Y3:Y6)</f>
        <v>1.2535561059739391E-3</v>
      </c>
      <c r="AA27" s="1" cm="1">
        <f t="array" ref="AA27">bdPSNRExtend(Z$11:Z$16,AA$11:AA$16,Z3:Z6,AA3:AA6)</f>
        <v>4.0046022148304061</v>
      </c>
      <c r="AB27" s="1" cm="1">
        <f t="array" ref="AB27">bdPSNRExtend(Z$11:Z$16,AB$11:AB$16,Z3:Z6,AB3:AB6)</f>
        <v>6.6823056581799953</v>
      </c>
      <c r="AC27" s="1" cm="1">
        <f t="array" ref="AC27">bdPSNRExtend(Z$11:Z$16,AC$11:AC$16,Z3:Z6,AC3:AC6)</f>
        <v>2.2141110874246928</v>
      </c>
      <c r="AD27" s="1" cm="1">
        <f t="array" ref="AD27">bdPSNRExtend(Z$11:Z$16,AD$11:AD$16,Z3:Z6,AD3:AD6)</f>
        <v>1.3261586947904194</v>
      </c>
      <c r="AE27" s="1" cm="1">
        <f t="array" ref="AE27">bdPSNRExtend(Z$11:Z$16,AE$11:AE$16,Z3:Z6,AE3:AE6)</f>
        <v>2.0394250504317214E-3</v>
      </c>
      <c r="AG27" s="1" cm="1">
        <f t="array" ref="AG27">bdPSNRExtend(AF$11:AF$16,AG$11:AG$16,AF3:AF6,AG3:AG6)</f>
        <v>1.1011601104526836</v>
      </c>
      <c r="AH27" s="1" cm="1">
        <f t="array" ref="AH27">bdPSNRExtend(AF$11:AF$16,AH$11:AH$16,AF3:AF6,AH3:AH6)</f>
        <v>1.4774424873956278</v>
      </c>
      <c r="AI27" s="1" cm="1">
        <f t="array" ref="AI27">bdPSNRExtend(AF$11:AF$16,AI$11:AI$16,AF3:AF6,AI3:AI6)</f>
        <v>-0.6929146961741014</v>
      </c>
      <c r="AJ27" s="1" cm="1">
        <f t="array" ref="AJ27">bdPSNRExtend(AF$11:AF$16,AJ$11:AJ$16,AF3:AF6,AJ3:AJ6)</f>
        <v>-0.59460085655970307</v>
      </c>
      <c r="AK27" s="1" cm="1">
        <f t="array" ref="AK27">bdPSNRExtend(AF$11:AF$16,AK$11:AK$16,AF3:AF6,AK3:AK6)</f>
        <v>-1.2104774112381092E-4</v>
      </c>
      <c r="AM27" s="1" cm="1">
        <f t="array" ref="AM27">bdPSNRExtend(AL$11:AL$16,AM$11:AM$16,AL3:AL6,AM3:AM6)</f>
        <v>0.18349716403808866</v>
      </c>
      <c r="AN27" s="1" cm="1">
        <f t="array" ref="AN27">bdPSNRExtend(AL$11:AL$16,AN$11:AN$16,AL3:AL6,AN3:AN6)</f>
        <v>-0.60821016877312972</v>
      </c>
      <c r="AO27" s="1" cm="1">
        <f t="array" ref="AO27">bdPSNRExtend(AL$11:AL$16,AO$11:AO$16,AL3:AL6,AO3:AO6)</f>
        <v>-6.6400147082785769E-3</v>
      </c>
      <c r="AP27" s="1" cm="1">
        <f t="array" ref="AP27">bdPSNRExtend(AL$11:AL$16,AP$11:AP$16,AL3:AL6,AP3:AP6)</f>
        <v>-0.46026773293165402</v>
      </c>
      <c r="AQ27" s="1" cm="1">
        <f t="array" ref="AQ27">bdPSNRExtend(AL$11:AL$16,AQ$11:AQ$16,AL3:AL6,AQ3:AQ6)</f>
        <v>-1.4914413616056933E-3</v>
      </c>
      <c r="AS27" s="1" cm="1">
        <f t="array" ref="AS27">bdPSNRExtend(AR$11:AR$16,AS$11:AS$16,AR3:AR6,AS3:AS6)</f>
        <v>-1.0432336831115625</v>
      </c>
      <c r="AT27" s="1" cm="1">
        <f t="array" ref="AT27">bdPSNRExtend(AR$11:AR$16,AT$11:AT$16,AR3:AR6,AT3:AT6)</f>
        <v>0.63698864673805033</v>
      </c>
      <c r="AU27" s="1" cm="1">
        <f t="array" ref="AU27">bdPSNRExtend(AR$11:AR$16,AU$11:AU$16,AR3:AR6,AU3:AU6)</f>
        <v>0.21511860095094279</v>
      </c>
      <c r="AV27" s="1" cm="1">
        <f t="array" ref="AV27">bdPSNRExtend(AR$11:AR$16,AV$11:AV$16,AR3:AR6,AV3:AV6)</f>
        <v>0.42418792221211554</v>
      </c>
      <c r="AW27" s="1" cm="1">
        <f t="array" ref="AW27">bdPSNRExtend(AR$11:AR$16,AW$11:AW$16,AR3:AR6,AW3:AW6)</f>
        <v>-3.5143963669879936E-4</v>
      </c>
      <c r="AY27" s="1" cm="1">
        <f t="array" ref="AY27">bdPSNRExtend(AX$11:AX$16,AY$11:AY$16,AX3:AX6,AY3:AY6)</f>
        <v>1.1374058473471387</v>
      </c>
      <c r="AZ27" s="1" cm="1">
        <f t="array" ref="AZ27">bdPSNRExtend(AX$11:AX$16,AZ$11:AZ$16,AX3:AX6,AZ3:AZ6)</f>
        <v>0.78551853157075946</v>
      </c>
      <c r="BA27" s="1" cm="1">
        <f t="array" ref="BA27">bdPSNRExtend(AX$11:AX$16,BA$11:BA$16,AX3:AX6,BA3:BA6)</f>
        <v>-0.6002935933136454</v>
      </c>
      <c r="BB27" s="1" cm="1">
        <f t="array" ref="BB27">bdPSNRExtend(AX$11:AX$16,BB$11:BB$16,AX3:AX6,BB3:BB6)</f>
        <v>-0.73436853091556886</v>
      </c>
      <c r="BC27" s="1" cm="1">
        <f t="array" ref="BC27">bdPSNRExtend(AX$11:AX$16,BC$11:BC$16,AX3:AX6,BC3:BC6)</f>
        <v>-5.6982001870151827E-4</v>
      </c>
      <c r="BE27" s="1" cm="1">
        <f t="array" ref="BE27">bdPSNRExtend(BD$11:BD$16,BE$11:BE$16,BD3:BD6,BE3:BE6)</f>
        <v>-2.192598343069228</v>
      </c>
      <c r="BF27" s="1" cm="1">
        <f t="array" ref="BF27">bdPSNRExtend(BD$11:BD$16,BF$11:BF$16,BD3:BD6,BF3:BF6)</f>
        <v>-2.7486761683285414</v>
      </c>
      <c r="BG27" s="1" cm="1">
        <f t="array" ref="BG27">bdPSNRExtend(BD$11:BD$16,BG$11:BG$16,BD3:BD6,BG3:BG6)</f>
        <v>-1.7151722798839584</v>
      </c>
      <c r="BH27" s="1" cm="1">
        <f t="array" ref="BH27">bdPSNRExtend(BD$11:BD$16,BH$11:BH$16,BD3:BD6,BH3:BH6)</f>
        <v>-1.2504610300583483</v>
      </c>
      <c r="BI27" s="1" cm="1">
        <f t="array" ref="BI27">bdPSNRExtend(BD$11:BD$16,BI$11:BI$16,BD3:BD6,BI3:BI6)</f>
        <v>-1.368130822223276E-3</v>
      </c>
      <c r="BK27" s="1" cm="1">
        <f t="array" ref="BK27">bdPSNRExtend(BJ$11:BJ$16,BK$11:BK$16,BJ3:BJ6,BK3:BK6)</f>
        <v>-2.7668549136095701</v>
      </c>
      <c r="BL27" s="1" cm="1">
        <f t="array" ref="BL27">bdPSNRExtend(BJ$11:BJ$16,BL$11:BL$16,BJ3:BJ6,BL3:BL6)</f>
        <v>-3.3071678390569703</v>
      </c>
      <c r="BM27" s="1" cm="1">
        <f t="array" ref="BM27">bdPSNRExtend(BJ$11:BJ$16,BM$11:BM$16,BJ3:BJ6,BM3:BM6)</f>
        <v>-2.5865581419979966</v>
      </c>
      <c r="BN27" s="1" cm="1">
        <f t="array" ref="BN27">bdPSNRExtend(BJ$11:BJ$16,BN$11:BN$16,BJ3:BJ6,BN3:BN6)</f>
        <v>-2.243188657152869</v>
      </c>
      <c r="BO27" s="1" cm="1">
        <f t="array" ref="BO27">bdPSNRExtend(BJ$11:BJ$16,BO$11:BO$16,BJ3:BJ6,BO3:BO6)</f>
        <v>-2.5669587291367378E-3</v>
      </c>
      <c r="BQ27" s="1" cm="1">
        <f t="array" ref="BQ27">bdPSNRExtend(BP$11:BP$16,BQ$11:BQ$16,BP3:BP6,BQ3:BQ6)</f>
        <v>-3.5513843802244032</v>
      </c>
      <c r="BR27" s="1" cm="1">
        <f t="array" ref="BR27">bdPSNRExtend(BP$11:BP$16,BR$11:BR$16,BP3:BP6,BR3:BR6)</f>
        <v>-0.21208161808250853</v>
      </c>
      <c r="BS27" s="1" cm="1">
        <f t="array" ref="BS27">bdPSNRExtend(BP$11:BP$16,BS$11:BS$16,BP3:BP6,BS3:BS6)</f>
        <v>-4.3731135306585678</v>
      </c>
      <c r="BT27" s="1" cm="1">
        <f t="array" ref="BT27">bdPSNRExtend(BP$11:BP$16,BT$11:BT$16,BP3:BP6,BT3:BT6)</f>
        <v>-3.8710192001064807</v>
      </c>
      <c r="BU27" s="1" cm="1">
        <f t="array" ref="BU27">bdPSNRExtend(BP$11:BP$16,BU$11:BU$16,BP3:BP6,BU3:BU6)</f>
        <v>-1.1303666401768239E-3</v>
      </c>
      <c r="BW27" s="1"/>
      <c r="BX27" s="1"/>
      <c r="BY27" s="1"/>
      <c r="BZ27" s="1"/>
      <c r="CA27" s="1"/>
      <c r="CC27" s="1"/>
      <c r="CD27" s="1"/>
      <c r="CE27" s="1"/>
      <c r="CF27" s="1"/>
      <c r="CG27" s="1"/>
      <c r="CI27" s="1"/>
      <c r="CJ27" s="1"/>
      <c r="CK27" s="1"/>
      <c r="CL27" s="1"/>
      <c r="CM27" s="1"/>
    </row>
    <row r="28" spans="1:91" x14ac:dyDescent="0.35">
      <c r="A28" s="108" t="str">
        <f>A7</f>
        <v>JPEG PCC VM v4.1 (VVC)</v>
      </c>
      <c r="B28" t="s">
        <v>17</v>
      </c>
      <c r="C28" s="10" cm="1">
        <f t="array" ref="C28">bdRateExtend(B$11:B$16,C$11:C$16,B7:B10,C7:C10)</f>
        <v>-0.70040978471120341</v>
      </c>
      <c r="D28" s="10" cm="1">
        <f t="array" ref="D28">bdRateExtend(B$11:B$16,D$11:D$16,B7:B10,D7:D10)</f>
        <v>-0.46917630254379472</v>
      </c>
      <c r="E28" s="10" cm="1">
        <f t="array" ref="E28">bdRateExtend(B$11:B$16,E$11:E$16,B7:B10,E7:E10)</f>
        <v>-0.16440517707870916</v>
      </c>
      <c r="F28" s="10" cm="1">
        <f t="array" ref="F28">bdRateExtend(B$11:B$16,F$11:F$16,B7:B10,F7:F10)</f>
        <v>-0.1810465608687658</v>
      </c>
      <c r="G28" s="10" cm="1">
        <f t="array" ref="G28">bdRateExtend(B$11:B$16,G$11:G$16,B7:B10,G7:G10)</f>
        <v>-0.16650862244957532</v>
      </c>
      <c r="I28" s="10" cm="1">
        <f t="array" ref="I28">bdRateExtend(H$11:H$16,I$11:I$16,H7:H10,I7:I10)</f>
        <v>-0.87300622246025072</v>
      </c>
      <c r="J28" s="10" cm="1">
        <f t="array" ref="J28">bdRateExtend(H$11:H$16,J$11:J$16,H7:H10,J7:J10)</f>
        <v>-0.8086513893640056</v>
      </c>
      <c r="K28" s="10" cm="1">
        <f t="array" ref="K28">bdRateExtend(H$11:H$16,K$11:K$16,H7:H10,K7:K10)</f>
        <v>-6.0928674652963255E-2</v>
      </c>
      <c r="L28" s="10" cm="1">
        <f t="array" ref="L28">bdRateExtend(H$11:H$16,L$11:L$16,H7:H10,L7:L10)</f>
        <v>-2.4225606172742276E-2</v>
      </c>
      <c r="M28" s="10" cm="1">
        <f t="array" ref="M28">bdRateExtend(H$11:H$16,M$11:M$16,H7:H10,M7:M10)</f>
        <v>-0.10903377744832121</v>
      </c>
      <c r="O28" s="10" cm="1">
        <f t="array" ref="O28">bdRateExtend(N$11:N$16,O$11:O$16,N7:N10,O7:O10)</f>
        <v>-0.76876422378090448</v>
      </c>
      <c r="P28" s="10" cm="1">
        <f t="array" ref="P28">bdRateExtend(N$11:N$16,P$11:P$16,N7:N10,P7:P10)</f>
        <v>-0.62052655622109287</v>
      </c>
      <c r="Q28" s="10" cm="1">
        <f t="array" ref="Q28">bdRateExtend(N$11:N$16,Q$11:Q$16,N7:N10,Q7:Q10)</f>
        <v>-0.4389772982512119</v>
      </c>
      <c r="R28" s="10" cm="1">
        <f t="array" ref="R28">bdRateExtend(N$11:N$16,R$11:R$16,N7:N10,R7:R10)</f>
        <v>-0.44310128626463052</v>
      </c>
      <c r="S28" s="10" cm="1">
        <f t="array" ref="S28">bdRateExtend(N$11:N$16,S$11:S$16,N7:N10,S7:S10)</f>
        <v>-0.43959092071828809</v>
      </c>
      <c r="U28" s="10" cm="1">
        <f t="array" ref="U28">bdRateExtend(T$11:T$16,U$11:U$16,T7:T10,U7:U10)</f>
        <v>-0.91926234386653449</v>
      </c>
      <c r="V28" s="10" cm="1">
        <f t="array" ref="V28">bdRateExtend(T$11:T$16,V$11:V$16,T7:T10,V7:V10)</f>
        <v>-0.83374378926366588</v>
      </c>
      <c r="W28" s="10" cm="1">
        <f t="array" ref="W28">bdRateExtend(T$11:T$16,W$11:W$16,T7:T10,W7:W10)</f>
        <v>-0.56119406914165015</v>
      </c>
      <c r="X28" s="10" cm="1">
        <f t="array" ref="X28">bdRateExtend(T$11:T$16,X$11:X$16,T7:T10,X7:X10)</f>
        <v>-0.55602436432890978</v>
      </c>
      <c r="Y28" s="10" cm="1">
        <f t="array" ref="Y28">bdRateExtend(T$11:T$16,Y$11:Y$16,T7:T10,Y7:Y10)</f>
        <v>-0.38963518843528588</v>
      </c>
      <c r="AA28" s="10" cm="1">
        <f t="array" ref="AA28">bdRateExtend(Z$11:Z$16,AA$11:AA$16,Z7:Z10,AA7:AA10)</f>
        <v>-0.74608696018900411</v>
      </c>
      <c r="AB28" s="10" cm="1">
        <f t="array" ref="AB28">bdRateExtend(Z$11:Z$16,AB$11:AB$16,Z7:Z10,AB7:AB10)</f>
        <v>-0.84628175366713532</v>
      </c>
      <c r="AC28" s="10" cm="1">
        <f t="array" ref="AC28">bdRateExtend(Z$11:Z$16,AC$11:AC$16,Z7:Z10,AC7:AC10)</f>
        <v>-0.58381837809601111</v>
      </c>
      <c r="AD28" s="10" cm="1">
        <f t="array" ref="AD28">bdRateExtend(Z$11:Z$16,AD$11:AD$16,Z7:Z10,AD7:AD10)</f>
        <v>-0.57688044804976601</v>
      </c>
      <c r="AE28" s="10" cm="1">
        <f t="array" ref="AE28">bdRateExtend(Z$11:Z$16,AE$11:AE$16,Z7:Z10,AE7:AE10)</f>
        <v>-0.56884354915528612</v>
      </c>
      <c r="AG28" s="10" cm="1">
        <f t="array" ref="AG28">bdRateExtend(AF$11:AF$16,AG$11:AG$16,AF7:AF10,AG7:AG10)</f>
        <v>-0.228463291800727</v>
      </c>
      <c r="AH28" s="10" cm="1">
        <f t="array" ref="AH28">bdRateExtend(AF$11:AF$16,AH$11:AH$16,AF7:AF10,AH7:AH10)</f>
        <v>-0.29465311151363605</v>
      </c>
      <c r="AI28" s="10" cm="1">
        <f t="array" ref="AI28">bdRateExtend(AF$11:AF$16,AI$11:AI$16,AF7:AF10,AI7:AI10)</f>
        <v>0.13596209541100257</v>
      </c>
      <c r="AJ28" s="10" cm="1">
        <f t="array" ref="AJ28">bdRateExtend(AF$11:AF$16,AJ$11:AJ$16,AF7:AF10,AJ7:AJ10)</f>
        <v>-2.0878373086491653E-2</v>
      </c>
      <c r="AK28" s="10" cm="1">
        <f t="array" ref="AK28">bdRateExtend(AF$11:AF$16,AK$11:AK$16,AF7:AF10,AK7:AK10)</f>
        <v>0.18338616918965078</v>
      </c>
      <c r="AM28" s="10" cm="1">
        <f t="array" ref="AM28">bdRateExtend(AL$11:AL$16,AM$11:AM$16,AL7:AL10,AM7:AM10)</f>
        <v>-0.24829767922094348</v>
      </c>
      <c r="AN28" s="10" cm="1">
        <f t="array" ref="AN28">bdRateExtend(AL$11:AL$16,AN$11:AN$16,AL7:AL10,AN7:AN10)</f>
        <v>-0.10019810032980225</v>
      </c>
      <c r="AO28" s="10" cm="1">
        <f t="array" ref="AO28">bdRateExtend(AL$11:AL$16,AO$11:AO$16,AL7:AL10,AO7:AO10)</f>
        <v>-0.31546729041826493</v>
      </c>
      <c r="AP28" s="10" cm="1">
        <f t="array" ref="AP28">bdRateExtend(AL$11:AL$16,AP$11:AP$16,AL7:AL10,AP7:AP10)</f>
        <v>-0.25837733961898657</v>
      </c>
      <c r="AQ28" s="10" cm="1">
        <f t="array" ref="AQ28">bdRateExtend(AL$11:AL$16,AQ$11:AQ$16,AL7:AL10,AQ7:AQ10)</f>
        <v>0.37315050709513353</v>
      </c>
      <c r="AS28" s="10" cm="1">
        <f t="array" ref="AS28">bdRateExtend(AR$11:AR$16,AS$11:AS$16,AR7:AR10,AS7:AS10)</f>
        <v>0.12429523776793605</v>
      </c>
      <c r="AT28" s="10" cm="1">
        <f t="array" ref="AT28">bdRateExtend(AR$11:AR$16,AT$11:AT$16,AR7:AR10,AT7:AT10)</f>
        <v>-0.22592977605448694</v>
      </c>
      <c r="AU28" s="10" cm="1">
        <f t="array" ref="AU28">bdRateExtend(AR$11:AR$16,AU$11:AU$16,AR7:AR10,AU7:AU10)</f>
        <v>-0.3780265989010364</v>
      </c>
      <c r="AV28" s="10" cm="1">
        <f t="array" ref="AV28">bdRateExtend(AR$11:AR$16,AV$11:AV$16,AR7:AR10,AV7:AV10)</f>
        <v>-0.47054834402705081</v>
      </c>
      <c r="AW28" s="10" cm="1">
        <f t="array" ref="AW28">bdRateExtend(AR$11:AR$16,AW$11:AW$16,AR7:AR10,AW7:AW10)</f>
        <v>-3.3692067620876065E-2</v>
      </c>
      <c r="AY28" s="10" cm="1">
        <f t="array" ref="AY28">bdRateExtend(AX$11:AX$16,AY$11:AY$16,AX7:AX10,AY7:AY10)</f>
        <v>-0.24925646318076644</v>
      </c>
      <c r="AZ28" s="10" cm="1">
        <f t="array" ref="AZ28">bdRateExtend(AX$11:AX$16,AZ$11:AZ$16,AX7:AX10,AZ7:AZ10)</f>
        <v>-8.8220941468644565E-2</v>
      </c>
      <c r="BA28" s="10" cm="1">
        <f t="array" ref="BA28">bdRateExtend(AX$11:AX$16,BA$11:BA$16,AX7:AX10,BA7:BA10)</f>
        <v>-2.9413934078043269E-2</v>
      </c>
      <c r="BB28" s="10" cm="1">
        <f t="array" ref="BB28">bdRateExtend(AX$11:AX$16,BB$11:BB$16,AX7:AX10,BB7:BB10)</f>
        <v>-0.10357187936672074</v>
      </c>
      <c r="BC28" s="10" cm="1">
        <f t="array" ref="BC28">bdRateExtend(AX$11:AX$16,BC$11:BC$16,AX7:AX10,BC7:BC10)</f>
        <v>0.16750169206364895</v>
      </c>
      <c r="BE28" s="10" cm="1">
        <f t="array" ref="BE28">bdRateExtend(BD$11:BD$16,BE$11:BE$16,BD7:BD10,BE7:BE10)</f>
        <v>0.57894102126307256</v>
      </c>
      <c r="BF28" s="10" cm="1">
        <f t="array" ref="BF28">bdRateExtend(BD$11:BD$16,BF$11:BF$16,BD7:BD10,BF7:BF10)</f>
        <v>0.85992042397630297</v>
      </c>
      <c r="BG28" s="10" cm="1">
        <f t="array" ref="BG28">bdRateExtend(BD$11:BD$16,BG$11:BG$16,BD7:BD10,BG7:BG10)</f>
        <v>0.27262077339614432</v>
      </c>
      <c r="BH28" s="10" cm="1">
        <f t="array" ref="BH28">bdRateExtend(BD$11:BD$16,BH$11:BH$16,BD7:BD10,BH7:BH10)</f>
        <v>7.9835628994175289E-2</v>
      </c>
      <c r="BI28" s="10" cm="1">
        <f t="array" ref="BI28">bdRateExtend(BD$11:BD$16,BI$11:BI$16,BD7:BD10,BI7:BI10)</f>
        <v>2.6134694171821682E-2</v>
      </c>
      <c r="BK28" s="10" cm="1">
        <f t="array" ref="BK28">bdRateExtend(BJ$11:BJ$16,BK$11:BK$16,BJ7:BJ10,BK7:BK10)</f>
        <v>0.77926402789939164</v>
      </c>
      <c r="BL28" s="10" cm="1">
        <f t="array" ref="BL28">bdRateExtend(BJ$11:BJ$16,BL$11:BL$16,BJ7:BJ10,BL7:BL10)</f>
        <v>0.98778672949195157</v>
      </c>
      <c r="BM28" s="10" cm="1">
        <f t="array" ref="BM28">bdRateExtend(BJ$11:BJ$16,BM$11:BM$16,BJ7:BJ10,BM7:BM10)</f>
        <v>0.34281046243105417</v>
      </c>
      <c r="BN28" s="10" cm="1">
        <f t="array" ref="BN28">bdRateExtend(BJ$11:BJ$16,BN$11:BN$16,BJ7:BJ10,BN7:BN10)</f>
        <v>0.16280235079305849</v>
      </c>
      <c r="BO28" s="10" cm="1">
        <f t="array" ref="BO28">bdRateExtend(BJ$11:BJ$16,BO$11:BO$16,BJ7:BJ10,BO7:BO10)</f>
        <v>0.73157045348072858</v>
      </c>
      <c r="BQ28" s="10" cm="1">
        <f t="array" ref="BQ28">bdRateExtend(BP$11:BP$16,BQ$11:BQ$16,BP7:BP10,BQ7:BQ10)</f>
        <v>0.77414722584360751</v>
      </c>
      <c r="BR28" s="10" cm="1">
        <f t="array" ref="BR28">bdRateExtend(BP$11:BP$16,BR$11:BR$16,BP7:BP10,BR7:BR10)</f>
        <v>-0.10367132213127539</v>
      </c>
      <c r="BS28" s="10" cm="1">
        <f t="array" ref="BS28">bdRateExtend(BP$11:BP$16,BS$11:BS$16,BP7:BP10,BS7:BS10)</f>
        <v>1.9935818108005225</v>
      </c>
      <c r="BT28" s="10" cm="1">
        <f t="array" ref="BT28">bdRateExtend(BP$11:BP$16,BT$11:BT$16,BP7:BP10,BT7:BT10)</f>
        <v>1.3216416000208673</v>
      </c>
      <c r="BU28" s="10" cm="1">
        <f t="array" ref="BU28">bdRateExtend(BP$11:BP$16,BU$11:BU$16,BP7:BP10,BU7:BU10)</f>
        <v>0.55011583212084503</v>
      </c>
      <c r="BW28" s="1"/>
      <c r="BX28" s="1"/>
      <c r="BY28" s="1"/>
      <c r="BZ28" s="1"/>
      <c r="CA28" s="1"/>
      <c r="CC28" s="1"/>
      <c r="CD28" s="1"/>
      <c r="CE28" s="1"/>
      <c r="CF28" s="1"/>
      <c r="CG28" s="1"/>
      <c r="CI28" s="1"/>
      <c r="CJ28" s="1"/>
      <c r="CK28" s="1"/>
      <c r="CL28" s="1"/>
      <c r="CM28" s="1"/>
    </row>
    <row r="29" spans="1:91" x14ac:dyDescent="0.35">
      <c r="A29" s="108"/>
      <c r="B29" t="s">
        <v>18</v>
      </c>
      <c r="C29" s="1" cm="1">
        <f t="array" ref="C29">bdPSNRExtend(B$11:B$16,C$11:C$16,B7:B10,C7:C10)</f>
        <v>5.1661076470285954</v>
      </c>
      <c r="D29" s="1" cm="1">
        <f t="array" ref="D29">bdPSNRExtend(B$11:B$16,D$11:D$16,B7:B10,D7:D10)</f>
        <v>3.5637837977169471</v>
      </c>
      <c r="E29" s="1" cm="1">
        <f t="array" ref="E29">bdPSNRExtend(B$11:B$16,E$11:E$16,B7:B10,E7:E10)</f>
        <v>0.44447539427124733</v>
      </c>
      <c r="F29" s="1" cm="1">
        <f t="array" ref="F29">bdPSNRExtend(B$11:B$16,F$11:F$16,B7:B10,F7:F10)</f>
        <v>0.50119316144303538</v>
      </c>
      <c r="G29" s="1" cm="1">
        <f t="array" ref="G29">bdPSNRExtend(B$11:B$16,G$11:G$16,B7:B10,G7:G10)</f>
        <v>1.503363238067452E-3</v>
      </c>
      <c r="I29" s="1" cm="1">
        <f t="array" ref="I29">bdPSNRExtend(H$11:H$16,I$11:I$16,H7:H10,I7:I10)</f>
        <v>6.1285030445172959</v>
      </c>
      <c r="J29" s="1" cm="1">
        <f t="array" ref="J29">bdPSNRExtend(H$11:H$16,J$11:J$16,H7:H10,J7:J10)</f>
        <v>5.1328547173103738</v>
      </c>
      <c r="K29" s="1" cm="1">
        <f t="array" ref="K29">bdPSNRExtend(H$11:H$16,K$11:K$16,H7:H10,K7:K10)</f>
        <v>4.1071613614865853E-2</v>
      </c>
      <c r="L29" s="1" cm="1">
        <f t="array" ref="L29">bdPSNRExtend(H$11:H$16,L$11:L$16,H7:H10,L7:L10)</f>
        <v>-3.4205560420286149E-2</v>
      </c>
      <c r="M29" s="1" cm="1">
        <f t="array" ref="M29">bdPSNRExtend(H$11:H$16,M$11:M$16,H7:H10,M7:M10)</f>
        <v>1.6863422238011698E-4</v>
      </c>
      <c r="O29" s="1" cm="1">
        <f t="array" ref="O29">bdPSNRExtend(N$11:N$16,O$11:O$16,N7:N10,O7:O10)</f>
        <v>6.6336313532700277</v>
      </c>
      <c r="P29" s="1" cm="1">
        <f t="array" ref="P29">bdPSNRExtend(N$11:N$16,P$11:P$16,N7:N10,P7:P10)</f>
        <v>5.0545366476393916</v>
      </c>
      <c r="Q29" s="1" cm="1">
        <f t="array" ref="Q29">bdPSNRExtend(N$11:N$16,Q$11:Q$16,N7:N10,Q7:Q10)</f>
        <v>2.6355413975918611</v>
      </c>
      <c r="R29" s="1" cm="1">
        <f t="array" ref="R29">bdPSNRExtend(N$11:N$16,R$11:R$16,N7:N10,R7:R10)</f>
        <v>2.4666533867093832</v>
      </c>
      <c r="S29" s="1" cm="1">
        <f t="array" ref="S29">bdPSNRExtend(N$11:N$16,S$11:S$16,N7:N10,S7:S10)</f>
        <v>3.8669273062483622E-3</v>
      </c>
      <c r="U29" s="1" cm="1">
        <f t="array" ref="U29">bdPSNRExtend(T$11:T$16,U$11:U$16,T7:T10,U7:U10)</f>
        <v>9.1116359442222503</v>
      </c>
      <c r="V29" s="1" cm="1">
        <f t="array" ref="V29">bdPSNRExtend(T$11:T$16,V$11:V$16,T7:T10,V7:V10)</f>
        <v>7.8588444150613697</v>
      </c>
      <c r="W29" s="1" cm="1">
        <f t="array" ref="W29">bdPSNRExtend(T$11:T$16,W$11:W$16,T7:T10,W7:W10)</f>
        <v>3.3943866101970115</v>
      </c>
      <c r="X29" s="1" cm="1">
        <f t="array" ref="X29">bdPSNRExtend(T$11:T$16,X$11:X$16,T7:T10,X7:X10)</f>
        <v>3.2349444603184843</v>
      </c>
      <c r="Y29" s="1" cm="1">
        <f t="array" ref="Y29">bdPSNRExtend(T$11:T$16,Y$11:Y$16,T7:T10,Y7:Y10)</f>
        <v>1.0312972138227759E-3</v>
      </c>
      <c r="AA29" s="1" cm="1">
        <f t="array" ref="AA29">bdPSNRExtend(Z$11:Z$16,AA$11:AA$16,Z7:Z10,AA7:AA10)</f>
        <v>4.4760114005183667</v>
      </c>
      <c r="AB29" s="1" cm="1">
        <f t="array" ref="AB29">bdPSNRExtend(Z$11:Z$16,AB$11:AB$16,Z7:Z10,AB7:AB10)</f>
        <v>7.0959591552843655</v>
      </c>
      <c r="AC29" s="1" cm="1">
        <f t="array" ref="AC29">bdPSNRExtend(Z$11:Z$16,AC$11:AC$16,Z7:Z10,AC7:AC10)</f>
        <v>2.3530432437384192</v>
      </c>
      <c r="AD29" s="1" cm="1">
        <f t="array" ref="AD29">bdPSNRExtend(Z$11:Z$16,AD$11:AD$16,Z7:Z10,AD7:AD10)</f>
        <v>2.0942561434697051</v>
      </c>
      <c r="AE29" s="1" cm="1">
        <f t="array" ref="AE29">bdPSNRExtend(Z$11:Z$16,AE$11:AE$16,Z7:Z10,AE7:AE10)</f>
        <v>2.093114365701575E-3</v>
      </c>
      <c r="AG29" s="1" cm="1">
        <f t="array" ref="AG29">bdPSNRExtend(AF$11:AF$16,AG$11:AG$16,AF7:AF10,AG7:AG10)</f>
        <v>1.0103186110986742</v>
      </c>
      <c r="AH29" s="1" cm="1">
        <f t="array" ref="AH29">bdPSNRExtend(AF$11:AF$16,AH$11:AH$16,AF7:AF10,AH7:AH10)</f>
        <v>1.4227786700206873</v>
      </c>
      <c r="AI29" s="1" cm="1">
        <f t="array" ref="AI29">bdPSNRExtend(AF$11:AF$16,AI$11:AI$16,AF7:AF10,AI7:AI10)</f>
        <v>-0.41652660359910659</v>
      </c>
      <c r="AJ29" s="1" cm="1">
        <f t="array" ref="AJ29">bdPSNRExtend(AF$11:AF$16,AJ$11:AJ$16,AF7:AF10,AJ7:AJ10)</f>
        <v>-4.8447251201029801E-2</v>
      </c>
      <c r="AK29" s="1" cm="1">
        <f t="array" ref="AK29">bdPSNRExtend(AF$11:AF$16,AK$11:AK$16,AF7:AF10,AK7:AK10)</f>
        <v>-4.8530327916444902E-4</v>
      </c>
      <c r="AM29" s="1" cm="1">
        <f t="array" ref="AM29">bdPSNRExtend(AL$11:AL$16,AM$11:AM$16,AL7:AL10,AM7:AM10)</f>
        <v>1.0515258565107339</v>
      </c>
      <c r="AN29" s="1" cm="1">
        <f t="array" ref="AN29">bdPSNRExtend(AL$11:AL$16,AN$11:AN$16,AL7:AL10,AN7:AN10)</f>
        <v>0.40494465965427634</v>
      </c>
      <c r="AO29" s="1" cm="1">
        <f t="array" ref="AO29">bdPSNRExtend(AL$11:AL$16,AO$11:AO$16,AL7:AL10,AO7:AO10)</f>
        <v>0.52731745008930375</v>
      </c>
      <c r="AP29" s="1" cm="1">
        <f t="array" ref="AP29">bdPSNRExtend(AL$11:AL$16,AP$11:AP$16,AL7:AL10,AP7:AP10)</f>
        <v>0.4347426039694034</v>
      </c>
      <c r="AQ29" s="1" cm="1">
        <f t="array" ref="AQ29">bdPSNRExtend(AL$11:AL$16,AQ$11:AQ$16,AL7:AL10,AQ7:AQ10)</f>
        <v>-1.0209188170485967E-3</v>
      </c>
      <c r="AS29" s="1" cm="1">
        <f t="array" ref="AS29">bdPSNRExtend(AR$11:AR$16,AS$11:AS$16,AR7:AR10,AS7:AS10)</f>
        <v>-0.50582200868512106</v>
      </c>
      <c r="AT29" s="1" cm="1">
        <f t="array" ref="AT29">bdPSNRExtend(AR$11:AR$16,AT$11:AT$16,AR7:AR10,AT7:AT10)</f>
        <v>1.179504980468856</v>
      </c>
      <c r="AU29" s="1" cm="1">
        <f t="array" ref="AU29">bdPSNRExtend(AR$11:AR$16,AU$11:AU$16,AR7:AR10,AU7:AU10)</f>
        <v>0.734610580210039</v>
      </c>
      <c r="AV29" s="1" cm="1">
        <f t="array" ref="AV29">bdPSNRExtend(AR$11:AR$16,AV$11:AV$16,AR7:AR10,AV7:AV10)</f>
        <v>1.2756116629336383</v>
      </c>
      <c r="AW29" s="1" cm="1">
        <f t="array" ref="AW29">bdPSNRExtend(AR$11:AR$16,AW$11:AW$16,AR7:AR10,AW7:AW10)</f>
        <v>1.7404289049718705E-5</v>
      </c>
      <c r="AY29" s="1" cm="1">
        <f t="array" ref="AY29">bdPSNRExtend(AX$11:AX$16,AY$11:AY$16,AX7:AX10,AY7:AY10)</f>
        <v>0.782576335941224</v>
      </c>
      <c r="AZ29" s="1" cm="1">
        <f t="array" ref="AZ29">bdPSNRExtend(AX$11:AX$16,AZ$11:AZ$16,AX7:AX10,AZ7:AZ10)</f>
        <v>0.2987498403632628</v>
      </c>
      <c r="BA29" s="1" cm="1">
        <f t="array" ref="BA29">bdPSNRExtend(AX$11:AX$16,BA$11:BA$16,AX7:AX10,BA7:BA10)</f>
        <v>-0.32206827745408678</v>
      </c>
      <c r="BB29" s="1" cm="1">
        <f t="array" ref="BB29">bdPSNRExtend(AX$11:AX$16,BB$11:BB$16,AX7:AX10,BB7:BB10)</f>
        <v>-9.9065013451482012E-2</v>
      </c>
      <c r="BC29" s="1" cm="1">
        <f t="array" ref="BC29">bdPSNRExtend(AX$11:AX$16,BC$11:BC$16,AX7:AX10,BC7:BC10)</f>
        <v>-5.3050777155629015E-4</v>
      </c>
      <c r="BE29" s="1" cm="1">
        <f t="array" ref="BE29">bdPSNRExtend(BD$11:BD$16,BE$11:BE$16,BD7:BD10,BE7:BE10)</f>
        <v>-2.2142354506222026</v>
      </c>
      <c r="BF29" s="1" cm="1">
        <f t="array" ref="BF29">bdPSNRExtend(BD$11:BD$16,BF$11:BF$16,BD7:BD10,BF7:BF10)</f>
        <v>-2.8591011199971761</v>
      </c>
      <c r="BG29" s="1" cm="1">
        <f t="array" ref="BG29">bdPSNRExtend(BD$11:BD$16,BG$11:BG$16,BD7:BD10,BG7:BG10)</f>
        <v>-1.075293939796258</v>
      </c>
      <c r="BH29" s="1" cm="1">
        <f t="array" ref="BH29">bdPSNRExtend(BD$11:BD$16,BH$11:BH$16,BD7:BD10,BH7:BH10)</f>
        <v>-0.55599794337529118</v>
      </c>
      <c r="BI29" s="1" cm="1">
        <f t="array" ref="BI29">bdPSNRExtend(BD$11:BD$16,BI$11:BI$16,BD7:BD10,BI7:BI10)</f>
        <v>-4.109524567726604E-4</v>
      </c>
      <c r="BK29" s="1" cm="1">
        <f t="array" ref="BK29">bdPSNRExtend(BJ$11:BJ$16,BK$11:BK$16,BJ7:BJ10,BK7:BK10)</f>
        <v>-2.5786718829119879</v>
      </c>
      <c r="BL29" s="1" cm="1">
        <f t="array" ref="BL29">bdPSNRExtend(BJ$11:BJ$16,BL$11:BL$16,BJ7:BJ10,BL7:BL10)</f>
        <v>-3.2879911267315665</v>
      </c>
      <c r="BM29" s="1" cm="1">
        <f t="array" ref="BM29">bdPSNRExtend(BJ$11:BJ$16,BM$11:BM$16,BJ7:BJ10,BM7:BM10)</f>
        <v>-1.9461700876096131</v>
      </c>
      <c r="BN29" s="1" cm="1">
        <f t="array" ref="BN29">bdPSNRExtend(BJ$11:BJ$16,BN$11:BN$16,BJ7:BJ10,BN7:BN10)</f>
        <v>-1.3136855829412308</v>
      </c>
      <c r="BO29" s="1" cm="1">
        <f t="array" ref="BO29">bdPSNRExtend(BJ$11:BJ$16,BO$11:BO$16,BJ7:BJ10,BO7:BO10)</f>
        <v>-2.382240047558032E-3</v>
      </c>
      <c r="BQ29" s="1" cm="1">
        <f t="array" ref="BQ29">bdPSNRExtend(BP$11:BP$16,BQ$11:BQ$16,BP7:BP10,BQ7:BQ10)</f>
        <v>-3.1728802872483937</v>
      </c>
      <c r="BR29" s="1" cm="1">
        <f t="array" ref="BR29">bdPSNRExtend(BP$11:BP$16,BR$11:BR$16,BP7:BP10,BR7:BR10)</f>
        <v>0.22559472661000968</v>
      </c>
      <c r="BS29" s="1" cm="1">
        <f t="array" ref="BS29">bdPSNRExtend(BP$11:BP$16,BS$11:BS$16,BP7:BP10,BS7:BS10)</f>
        <v>-4.3471721067667701</v>
      </c>
      <c r="BT29" s="1" cm="1">
        <f t="array" ref="BT29">bdPSNRExtend(BP$11:BP$16,BT$11:BT$16,BP7:BP10,BT7:BT10)</f>
        <v>-3.3107357124780306</v>
      </c>
      <c r="BU29" s="1" cm="1">
        <f t="array" ref="BU29">bdPSNRExtend(BP$11:BP$16,BU$11:BU$16,BP7:BP10,BU7:BU10)</f>
        <v>-1.1505756432285941E-3</v>
      </c>
      <c r="BW29" s="1"/>
      <c r="BX29" s="1"/>
      <c r="BY29" s="1"/>
      <c r="BZ29" s="1"/>
      <c r="CA29" s="1"/>
      <c r="CC29" s="1"/>
      <c r="CD29" s="1"/>
      <c r="CE29" s="1"/>
      <c r="CF29" s="1"/>
      <c r="CG29" s="1"/>
      <c r="CI29" s="1"/>
      <c r="CJ29" s="1"/>
      <c r="CK29" s="1"/>
      <c r="CL29" s="1"/>
      <c r="CM29" s="1"/>
    </row>
    <row r="30" spans="1:91" x14ac:dyDescent="0.35">
      <c r="A30" t="s">
        <v>162</v>
      </c>
      <c r="C30" s="1"/>
      <c r="D30" s="1"/>
      <c r="E30" s="1"/>
      <c r="F30" s="1"/>
      <c r="G30" s="1"/>
      <c r="I30" s="1"/>
      <c r="J30" s="1"/>
      <c r="K30" s="1"/>
      <c r="L30" s="1"/>
      <c r="M30" s="1"/>
      <c r="O30" s="1"/>
      <c r="P30" s="1"/>
      <c r="Q30" s="1"/>
      <c r="R30" s="1"/>
      <c r="S30" s="1"/>
      <c r="AA30" s="1"/>
      <c r="AB30" s="1"/>
      <c r="AC30" s="1"/>
      <c r="AD30" s="1"/>
      <c r="AE30" s="1"/>
      <c r="AG30" s="1"/>
      <c r="AH30" s="1"/>
      <c r="AI30" s="1"/>
      <c r="AJ30" s="1"/>
      <c r="AK30" s="1"/>
      <c r="AM30" s="1"/>
      <c r="AN30" s="1"/>
      <c r="AO30" s="1"/>
      <c r="AP30" s="1"/>
      <c r="AQ30" s="1"/>
      <c r="AS30" s="1"/>
      <c r="AT30" s="1"/>
      <c r="AU30" s="1"/>
      <c r="AV30" s="1"/>
      <c r="AW30" s="1"/>
      <c r="AY30" s="1"/>
      <c r="AZ30" s="1"/>
      <c r="BA30" s="1"/>
      <c r="BB30" s="1"/>
      <c r="BC30" s="1"/>
      <c r="BE30" s="1"/>
      <c r="BF30" s="1"/>
      <c r="BG30" s="1"/>
      <c r="BH30" s="1"/>
      <c r="BI30" s="1"/>
      <c r="BK30" s="1"/>
      <c r="BL30" s="1"/>
      <c r="BM30" s="1"/>
      <c r="BN30" s="1"/>
      <c r="BO30" s="1"/>
      <c r="BQ30" s="1"/>
      <c r="BR30" s="1"/>
      <c r="BS30" s="1"/>
      <c r="BT30" s="1"/>
      <c r="BU30" s="1"/>
      <c r="BW30" s="1"/>
      <c r="BX30" s="1"/>
      <c r="BY30" s="1"/>
      <c r="BZ30" s="1"/>
      <c r="CA30" s="1"/>
      <c r="CC30" s="1"/>
      <c r="CD30" s="1"/>
      <c r="CE30" s="1"/>
      <c r="CF30" s="1"/>
      <c r="CG30" s="1"/>
      <c r="CI30" s="1"/>
      <c r="CJ30" s="1"/>
      <c r="CK30" s="1"/>
      <c r="CL30" s="1"/>
      <c r="CM30" s="1"/>
    </row>
    <row r="31" spans="1:91" x14ac:dyDescent="0.35">
      <c r="A31" s="108" t="str">
        <f>A26</f>
        <v>JPEG PCC VM v4.1</v>
      </c>
      <c r="B31" t="s">
        <v>17</v>
      </c>
      <c r="C31" s="10" cm="1">
        <f t="array" ref="C31">bdRateExtend(B$17:B$22,C$17:C$22,B3:B6,C3:C6)</f>
        <v>-0.15067031053786883</v>
      </c>
      <c r="D31" s="10" cm="1">
        <f t="array" ref="D31">bdRateExtend(B$17:B$22,D$17:D$22,B3:B6,D3:D6)</f>
        <v>-8.4399261840336637E-2</v>
      </c>
      <c r="E31" s="10" cm="1">
        <f t="array" ref="E31">bdRateExtend(B$17:B$22,E$17:E$22,B3:B6,E3:E6)</f>
        <v>0.8492089068043398</v>
      </c>
      <c r="F31" s="10" cm="1">
        <f t="array" ref="F31">bdRateExtend(B$17:B$22,F$17:F$22,B3:B6,F3:F6)</f>
        <v>0.69655960347578105</v>
      </c>
      <c r="G31" s="10" cm="1">
        <f t="array" ref="G31">bdRateExtend(B$17:B$22,G$17:G$22,B3:B6,G3:G6)</f>
        <v>0.38088209921041716</v>
      </c>
      <c r="I31" s="10" cm="1">
        <f t="array" ref="I31">bdRateExtend(H$17:H$22,I$17:I$22,H3:H6,I3:I6)</f>
        <v>-0.76116396837609046</v>
      </c>
      <c r="J31" s="10" cm="1">
        <f t="array" ref="J31">bdRateExtend(H$17:H$22,J$17:J$22,H3:H6,J3:J6)</f>
        <v>-0.76110148144359979</v>
      </c>
      <c r="K31" s="10" cm="1">
        <f t="array" ref="K31">bdRateExtend(H$17:H$22,K$17:K$22,H3:H6,K3:K6)</f>
        <v>1.133669748930525</v>
      </c>
      <c r="L31" s="10" cm="1">
        <f t="array" ref="L31">bdRateExtend(H$17:H$22,L$17:L$22,H3:H6,L3:L6)</f>
        <v>1.2434357166552972</v>
      </c>
      <c r="M31" s="10" cm="1">
        <f t="array" ref="M31">bdRateExtend(H$17:H$22,M$17:M$22,H3:H6,M3:M6)</f>
        <v>0.25504177808034045</v>
      </c>
      <c r="O31" s="10" cm="1">
        <f t="array" ref="O31">bdRateExtend(N$17:N$22,O$17:O$22,N3:N6,O3:O6)</f>
        <v>-0.39399207705837025</v>
      </c>
      <c r="P31" s="10" cm="1">
        <f t="array" ref="P31">bdRateExtend(N$17:N$22,P$17:P$22,N3:N6,P3:P6)</f>
        <v>-0.42743017490307855</v>
      </c>
      <c r="Q31" s="10" cm="1">
        <f t="array" ref="Q31">bdRateExtend(N$17:N$22,Q$17:Q$22,N3:N6,Q3:Q6)</f>
        <v>0.5939629917647129</v>
      </c>
      <c r="R31" s="10" cm="1">
        <f t="array" ref="R31">bdRateExtend(N$17:N$22,R$17:R$22,N3:N6,R3:R6)</f>
        <v>0.50301429764914984</v>
      </c>
      <c r="S31" s="10" cm="1">
        <f t="array" ref="S31">bdRateExtend(N$17:N$22,S$17:S$22,N3:N6,S3:S6)</f>
        <v>7.8468096429717971E-3</v>
      </c>
      <c r="U31" s="10" cm="1">
        <f t="array" ref="U31">bdRateExtend(T$17:T$22,U$17:U$22,T3:T6,U3:U6)</f>
        <v>-0.60786965087960265</v>
      </c>
      <c r="V31" s="10" cm="1">
        <f t="array" ref="V31">bdRateExtend(T$17:T$22,V$17:V$22,T3:T6,V3:V6)</f>
        <v>-0.5699475257764367</v>
      </c>
      <c r="W31" s="10" cm="1">
        <f t="array" ref="W31">bdRateExtend(T$17:T$22,W$17:W$22,T3:T6,W3:W6)</f>
        <v>0.41036346694231196</v>
      </c>
      <c r="X31" s="10" cm="1">
        <f t="array" ref="X31">bdRateExtend(T$17:T$22,X$17:X$22,T3:T6,X3:X6)</f>
        <v>0.47994344649942344</v>
      </c>
      <c r="Y31" s="10" cm="1">
        <f t="array" ref="Y31">bdRateExtend(T$17:T$22,Y$17:Y$22,T3:T6,Y3:Y6)</f>
        <v>-0.2891809329786551</v>
      </c>
      <c r="AA31" s="10" cm="1">
        <f t="array" ref="AA31">bdRateExtend(Z$17:Z$22,AA$17:AA$22,Z3:Z6,AA3:AA6)</f>
        <v>-0.28338629111207836</v>
      </c>
      <c r="AB31" s="10" cm="1">
        <f t="array" ref="AB31">bdRateExtend(Z$17:Z$22,AB$17:AB$22,Z3:Z6,AB3:AB6)</f>
        <v>-0.28906702188765065</v>
      </c>
      <c r="AC31" s="10" cm="1">
        <f t="array" ref="AC31">bdRateExtend(Z$17:Z$22,AC$17:AC$22,Z3:Z6,AC3:AC6)</f>
        <v>0.3677316649277016</v>
      </c>
      <c r="AD31" s="10" cm="1">
        <f t="array" ref="AD31">bdRateExtend(Z$17:Z$22,AD$17:AD$22,Z3:Z6,AD3:AD6)</f>
        <v>0.40084664349987831</v>
      </c>
      <c r="AE31" s="10" cm="1">
        <f t="array" ref="AE31">bdRateExtend(Z$17:Z$22,AE$17:AE$22,Z3:Z6,AE3:AE6)</f>
        <v>-5.6516534989391576E-2</v>
      </c>
      <c r="AG31" s="10" cm="1">
        <f t="array" ref="AG31">bdRateExtend(AF$17:AF$22,AG$17:AG$22,AF3:AF6,AG3:AG6)</f>
        <v>8.6159069338757277E-2</v>
      </c>
      <c r="AH31" s="10" cm="1">
        <f t="array" ref="AH31">bdRateExtend(AF$17:AF$22,AH$17:AH$22,AF3:AF6,AH3:AH6)</f>
        <v>-0.37903849463032102</v>
      </c>
      <c r="AI31" s="10" cm="1">
        <f t="array" ref="AI31">bdRateExtend(AF$17:AF$22,AI$17:AI$22,AF3:AF6,AI3:AI6)</f>
        <v>1.4944115729197414</v>
      </c>
      <c r="AJ31" s="10" cm="1">
        <f t="array" ref="AJ31">bdRateExtend(AF$17:AF$22,AJ$17:AJ$22,AF3:AF6,AJ3:AJ6)</f>
        <v>1.3248317650546486</v>
      </c>
      <c r="AK31" s="10" cm="1">
        <f t="array" ref="AK31">bdRateExtend(AF$17:AF$22,AK$17:AK$22,AF3:AF6,AK3:AK6)</f>
        <v>8.892363341194276E-2</v>
      </c>
      <c r="AM31" s="10" cm="1">
        <f t="array" ref="AM31">bdRateExtend(AL$17:AL$22,AM$17:AM$22,AL3:AL6,AM3:AM6)</f>
        <v>0.5417946667884328</v>
      </c>
      <c r="AN31" s="10" cm="1">
        <f t="array" ref="AN31">bdRateExtend(AL$17:AL$22,AN$17:AN$22,AL3:AL6,AN3:AN6)</f>
        <v>0.66248139454366939</v>
      </c>
      <c r="AO31" s="10" cm="1">
        <f t="array" ref="AO31">bdRateExtend(AL$17:AL$22,AO$17:AO$22,AL3:AL6,AO3:AO6)</f>
        <v>0.43342575871752076</v>
      </c>
      <c r="AP31" s="10" cm="1">
        <f t="array" ref="AP31">bdRateExtend(AL$17:AL$22,AP$17:AP$22,AL3:AL6,AP3:AP6)</f>
        <v>0.25651228259159842</v>
      </c>
      <c r="AQ31" s="10" cm="1">
        <f t="array" ref="AQ31">bdRateExtend(AL$17:AL$22,AQ$17:AQ$22,AL3:AL6,AQ3:AQ6)</f>
        <v>6.2920769848697988E-2</v>
      </c>
      <c r="AS31" s="10" cm="1">
        <f t="array" ref="AS31">bdRateExtend(AR$17:AR$22,AS$17:AS$22,AR3:AR6,AS3:AS6)</f>
        <v>7.9645478398492706</v>
      </c>
      <c r="AT31" s="10" cm="1">
        <f t="array" ref="AT31">bdRateExtend(AR$17:AR$22,AT$17:AT$22,AR3:AR6,AT3:AT6)</f>
        <v>2.8505806804747991</v>
      </c>
      <c r="AU31" s="10" cm="1">
        <f t="array" ref="AU31">bdRateExtend(AR$17:AR$22,AU$17:AU$22,AR3:AR6,AU3:AU6)</f>
        <v>8.2214148774379936E-3</v>
      </c>
      <c r="AV31" s="10" cm="1">
        <f t="array" ref="AV31">bdRateExtend(AR$17:AR$22,AV$17:AV$22,AR3:AR6,AV3:AV6)</f>
        <v>-0.17296250992567008</v>
      </c>
      <c r="AW31" s="10" cm="1">
        <f t="array" ref="AW31">bdRateExtend(AR$17:AR$22,AW$17:AW$22,AR3:AR6,AW3:AW6)</f>
        <v>0.24748426223133935</v>
      </c>
      <c r="AY31" s="10" cm="1">
        <f t="array" ref="AY31">bdRateExtend(AX$17:AX$22,AY$17:AY$22,AX3:AX6,AY3:AY6)</f>
        <v>-0.10075371503158714</v>
      </c>
      <c r="AZ31" s="10" cm="1">
        <f t="array" ref="AZ31">bdRateExtend(AX$17:AX$22,AZ$17:AZ$22,AX3:AX6,AZ3:AZ6)</f>
        <v>2.6613220140514038E-2</v>
      </c>
      <c r="BA31" s="10" cm="1">
        <f t="array" ref="BA31">bdRateExtend(AX$17:AX$22,BA$17:BA$22,AX3:AX6,BA3:BA6)</f>
        <v>-0.27183074457707657</v>
      </c>
      <c r="BB31" s="10" cm="1">
        <f t="array" ref="BB31">bdRateExtend(AX$17:AX$22,BB$17:BB$22,AX3:AX6,BB3:BB6)</f>
        <v>-0.20943708948836404</v>
      </c>
      <c r="BC31" s="10" cm="1">
        <f t="array" ref="BC31">bdRateExtend(AX$17:AX$22,BC$17:BC$22,AX3:AX6,BC3:BC6)</f>
        <v>0.20287602408817973</v>
      </c>
      <c r="BE31" s="10" cm="1">
        <f t="array" ref="BE31">bdRateExtend(BD$17:BD$22,BE$17:BE$22,BD3:BD6,BE3:BE6)</f>
        <v>-0.30234113048372102</v>
      </c>
      <c r="BF31" s="10" cm="1">
        <f t="array" ref="BF31">bdRateExtend(BD$17:BD$22,BF$17:BF$22,BD3:BD6,BF3:BF6)</f>
        <v>-0.4462137979179378</v>
      </c>
      <c r="BG31" s="10" cm="1">
        <f t="array" ref="BG31">bdRateExtend(BD$17:BD$22,BG$17:BG$22,BD3:BD6,BG3:BG6)</f>
        <v>-0.16282429645695029</v>
      </c>
      <c r="BH31" s="10" cm="1">
        <f t="array" ref="BH31">bdRateExtend(BD$17:BD$22,BH$17:BH$22,BD3:BD6,BH3:BH6)</f>
        <v>-0.27042686889843814</v>
      </c>
      <c r="BI31" s="10" cm="1">
        <f t="array" ref="BI31">bdRateExtend(BD$17:BD$22,BI$17:BI$22,BD3:BD6,BI3:BI6)</f>
        <v>-0.21569522879183989</v>
      </c>
      <c r="BK31" s="10" cm="1">
        <f t="array" ref="BK31">bdRateExtend(BJ$17:BJ$22,BK$17:BK$22,BJ3:BJ6,BK3:BK6)</f>
        <v>-0.24778595729324759</v>
      </c>
      <c r="BL31" s="10" cm="1">
        <f t="array" ref="BL31">bdRateExtend(BJ$17:BJ$22,BL$17:BL$22,BJ3:BJ6,BL3:BL6)</f>
        <v>-0.59394296890528087</v>
      </c>
      <c r="BM31" s="10" cm="1">
        <f t="array" ref="BM31">bdRateExtend(BJ$17:BJ$22,BM$17:BM$22,BJ3:BJ6,BM3:BM6)</f>
        <v>0.4442032010490844</v>
      </c>
      <c r="BN31" s="10" cm="1">
        <f t="array" ref="BN31">bdRateExtend(BJ$17:BJ$22,BN$17:BN$22,BJ3:BJ6,BN3:BN6)</f>
        <v>0.64943209249177136</v>
      </c>
      <c r="BO31" s="10" cm="1">
        <f t="array" ref="BO31">bdRateExtend(BJ$17:BJ$22,BO$17:BO$22,BJ3:BJ6,BO3:BO6)</f>
        <v>8.1243911233912947E-2</v>
      </c>
      <c r="BQ31" s="10" cm="1">
        <f t="array" ref="BQ31">bdRateExtend(BP$17:BP$22,BQ$17:BQ$22,BP3:BP6,BQ3:BQ6)</f>
        <v>0.91817406130596635</v>
      </c>
      <c r="BR31" s="10" cm="1">
        <f t="array" ref="BR31">bdRateExtend(BP$17:BP$22,BR$17:BR$22,BP3:BP6,BR3:BR6)</f>
        <v>0.22051414315266538</v>
      </c>
      <c r="BS31" s="10" cm="1">
        <f t="array" ref="BS31">bdRateExtend(BP$17:BP$22,BS$17:BS$22,BP3:BP6,BS3:BS6)</f>
        <v>0.28535139189949543</v>
      </c>
      <c r="BT31" s="10" cm="1">
        <f t="array" ref="BT31">bdRateExtend(BP$17:BP$22,BT$17:BT$22,BP3:BP6,BT3:BT6)</f>
        <v>0.12600106912683029</v>
      </c>
      <c r="BU31" s="10" cm="1">
        <f t="array" ref="BU31">bdRateExtend(BP$17:BP$22,BU$17:BU$22,BP3:BP6,BU3:BU6)</f>
        <v>2.9206494464906863E-2</v>
      </c>
      <c r="BW31" s="1"/>
      <c r="BX31" s="1"/>
      <c r="BY31" s="1"/>
      <c r="BZ31" s="1"/>
      <c r="CA31" s="1"/>
      <c r="CC31" s="1"/>
      <c r="CD31" s="1"/>
      <c r="CE31" s="1"/>
      <c r="CF31" s="1"/>
      <c r="CG31" s="1"/>
      <c r="CI31" s="1"/>
      <c r="CJ31" s="1"/>
      <c r="CK31" s="1"/>
      <c r="CL31" s="1"/>
      <c r="CM31" s="1"/>
    </row>
    <row r="32" spans="1:91" x14ac:dyDescent="0.35">
      <c r="A32" s="108"/>
      <c r="B32" t="s">
        <v>18</v>
      </c>
      <c r="C32" s="1" cm="1">
        <f t="array" ref="C32">bdPSNRExtend(B$17:B$22,C$17:C$22,B3:B6,C3:C6)</f>
        <v>1.6037413352875263</v>
      </c>
      <c r="D32" s="1" cm="1">
        <f t="array" ref="D32">bdPSNRExtend(B$17:B$22,D$17:D$22,B3:B6,D3:D6)</f>
        <v>1.9060622377883338</v>
      </c>
      <c r="E32" s="1" cm="1">
        <f t="array" ref="E32">bdPSNRExtend(B$17:B$22,E$17:E$22,B3:B6,E3:E6)</f>
        <v>-1.8058530401898187</v>
      </c>
      <c r="F32" s="1" cm="1">
        <f t="array" ref="F32">bdPSNRExtend(B$17:B$22,F$17:F$22,B3:B6,F3:F6)</f>
        <v>-1.3804260962793853</v>
      </c>
      <c r="G32" s="1" cm="1">
        <f t="array" ref="G32">bdPSNRExtend(B$17:B$22,G$17:G$22,B3:B6,G3:G6)</f>
        <v>-2.8470282400231946E-3</v>
      </c>
      <c r="I32" s="1" cm="1">
        <f t="array" ref="I32">bdPSNRExtend(H$17:H$22,I$17:I$22,H3:H6,I3:I6)</f>
        <v>4.2994686802005013</v>
      </c>
      <c r="J32" s="1" cm="1">
        <f t="array" ref="J32">bdPSNRExtend(H$17:H$22,J$17:J$22,H3:H6,J3:J6)</f>
        <v>4.7702376961106197</v>
      </c>
      <c r="K32" s="1" cm="1">
        <f t="array" ref="K32">bdPSNRExtend(H$17:H$22,K$17:K$22,H3:H6,K3:K6)</f>
        <v>-1.9552254430329963</v>
      </c>
      <c r="L32" s="1" cm="1">
        <f t="array" ref="L32">bdPSNRExtend(H$17:H$22,L$17:L$22,H3:H6,L3:L6)</f>
        <v>-1.9444024592641023</v>
      </c>
      <c r="M32" s="1" cm="1">
        <f t="array" ref="M32">bdPSNRExtend(H$17:H$22,M$17:M$22,H3:H6,M3:M6)</f>
        <v>-2.0405747251833646E-3</v>
      </c>
      <c r="O32" s="1" cm="1">
        <f t="array" ref="O32">bdPSNRExtend(N$17:N$22,O$17:O$22,N3:N6,O3:O6)</f>
        <v>2.5777738662485725</v>
      </c>
      <c r="P32" s="1" cm="1">
        <f t="array" ref="P32">bdPSNRExtend(N$17:N$22,P$17:P$22,N3:N6,P3:P6)</f>
        <v>3.0452453300849345</v>
      </c>
      <c r="Q32" s="1" cm="1">
        <f t="array" ref="Q32">bdPSNRExtend(N$17:N$22,Q$17:Q$22,N3:N6,Q3:Q6)</f>
        <v>-2.280458608059087</v>
      </c>
      <c r="R32" s="1" cm="1">
        <f t="array" ref="R32">bdPSNRExtend(N$17:N$22,R$17:R$22,N3:N6,R3:R6)</f>
        <v>-1.7772965340760141</v>
      </c>
      <c r="S32" s="1" cm="1">
        <f t="array" ref="S32">bdPSNRExtend(N$17:N$22,S$17:S$22,N3:N6,S3:S6)</f>
        <v>1.7100727412389186E-4</v>
      </c>
      <c r="U32" s="1" cm="1">
        <f t="array" ref="U32">bdPSNRExtend(T$17:T$22,U$17:U$22,T3:T6,U3:U6)</f>
        <v>3.1983722524466454</v>
      </c>
      <c r="V32" s="1" cm="1">
        <f t="array" ref="V32">bdPSNRExtend(T$17:T$22,V$17:V$22,T3:T6,V3:V6)</f>
        <v>3.6913487103914115</v>
      </c>
      <c r="W32" s="1" cm="1">
        <f t="array" ref="W32">bdPSNRExtend(T$17:T$22,W$17:W$22,T3:T6,W3:W6)</f>
        <v>-1.652524929468959</v>
      </c>
      <c r="X32" s="1" cm="1">
        <f t="array" ref="X32">bdPSNRExtend(T$17:T$22,X$17:X$22,T3:T6,X3:X6)</f>
        <v>-1.7862132585392647</v>
      </c>
      <c r="Y32" s="1" cm="1">
        <f t="array" ref="Y32">bdPSNRExtend(T$17:T$22,Y$17:Y$22,T3:T6,Y3:Y6)</f>
        <v>5.1229773360911746E-4</v>
      </c>
      <c r="AA32" s="1" cm="1">
        <f t="array" ref="AA32">bdPSNRExtend(Z$17:Z$22,AA$17:AA$22,Z3:Z6,AA3:AA6)</f>
        <v>0.667316474139236</v>
      </c>
      <c r="AB32" s="1" cm="1">
        <f t="array" ref="AB32">bdPSNRExtend(Z$17:Z$22,AB$17:AB$22,Z3:Z6,AB3:AB6)</f>
        <v>1.415665810820379</v>
      </c>
      <c r="AC32" s="1" cm="1">
        <f t="array" ref="AC32">bdPSNRExtend(Z$17:Z$22,AC$17:AC$22,Z3:Z6,AC3:AC6)</f>
        <v>-0.99135923148574656</v>
      </c>
      <c r="AD32" s="1" cm="1">
        <f t="array" ref="AD32">bdPSNRExtend(Z$17:Z$22,AD$17:AD$22,Z3:Z6,AD3:AD6)</f>
        <v>-0.97293774783547482</v>
      </c>
      <c r="AE32" s="1" cm="1">
        <f t="array" ref="AE32">bdPSNRExtend(Z$17:Z$22,AE$17:AE$22,Z3:Z6,AE3:AE6)</f>
        <v>1.9631040494612334E-4</v>
      </c>
      <c r="AG32" s="1" cm="1">
        <f t="array" ref="AG32">bdPSNRExtend(AF$17:AF$22,AG$17:AG$22,AF3:AF6,AG3:AG6)</f>
        <v>-0.19949348963488098</v>
      </c>
      <c r="AH32" s="1" cm="1">
        <f t="array" ref="AH32">bdPSNRExtend(AF$17:AF$22,AH$17:AH$22,AF3:AF6,AH3:AH6)</f>
        <v>1.6763888717873043</v>
      </c>
      <c r="AI32" s="1" cm="1">
        <f t="array" ref="AI32">bdPSNRExtend(AF$17:AF$22,AI$17:AI$22,AF3:AF6,AI3:AI6)</f>
        <v>-1.6457359475320052</v>
      </c>
      <c r="AJ32" s="1" cm="1">
        <f t="array" ref="AJ32">bdPSNRExtend(AF$17:AF$22,AJ$17:AJ$22,AF3:AF6,AJ3:AJ6)</f>
        <v>-1.366100408739642</v>
      </c>
      <c r="AK32" s="1" cm="1">
        <f t="array" ref="AK32">bdPSNRExtend(AF$17:AF$22,AK$17:AK$22,AF3:AF6,AK3:AK6)</f>
        <v>-2.5451023564398322E-4</v>
      </c>
      <c r="AM32" s="1" cm="1">
        <f t="array" ref="AM32">bdPSNRExtend(AL$17:AL$22,AM$17:AM$22,AL3:AL6,AM3:AM6)</f>
        <v>-1.6880443774992631</v>
      </c>
      <c r="AN32" s="1" cm="1">
        <f t="array" ref="AN32">bdPSNRExtend(AL$17:AL$22,AN$17:AN$22,AL3:AL6,AN3:AN6)</f>
        <v>-2.2683858994686581</v>
      </c>
      <c r="AO32" s="1" cm="1">
        <f t="array" ref="AO32">bdPSNRExtend(AL$17:AL$22,AO$17:AO$22,AL3:AL6,AO3:AO6)</f>
        <v>-0.85803157854012313</v>
      </c>
      <c r="AP32" s="1" cm="1">
        <f t="array" ref="AP32">bdPSNRExtend(AL$17:AL$22,AP$17:AP$22,AL3:AL6,AP3:AP6)</f>
        <v>-0.63623283530162289</v>
      </c>
      <c r="AQ32" s="1" cm="1">
        <f t="array" ref="AQ32">bdPSNRExtend(AL$17:AL$22,AQ$17:AQ$22,AL3:AL6,AQ3:AQ6)</f>
        <v>-2.9185672324396321E-4</v>
      </c>
      <c r="AS32" s="1" cm="1">
        <f t="array" ref="AS32">bdPSNRExtend(AR$17:AR$22,AS$17:AS$22,AR3:AR6,AS3:AS6)</f>
        <v>-7.7798400087888462</v>
      </c>
      <c r="AT32" s="1" cm="1">
        <f t="array" ref="AT32">bdPSNRExtend(AR$17:AR$22,AT$17:AT$22,AR3:AR6,AT3:AT6)</f>
        <v>-6.1335660466379949</v>
      </c>
      <c r="AU32" s="1" cm="1">
        <f t="array" ref="AU32">bdPSNRExtend(AR$17:AR$22,AU$17:AU$22,AR3:AR6,AU3:AU6)</f>
        <v>-0.19947976416964941</v>
      </c>
      <c r="AV32" s="1" cm="1">
        <f t="array" ref="AV32">bdPSNRExtend(AR$17:AR$22,AV$17:AV$22,AR3:AR6,AV3:AV6)</f>
        <v>0.22875010871797741</v>
      </c>
      <c r="AW32" s="1" cm="1">
        <f t="array" ref="AW32">bdPSNRExtend(AR$17:AR$22,AW$17:AW$22,AR3:AR6,AW3:AW6)</f>
        <v>-5.0145617037880249E-4</v>
      </c>
      <c r="AY32" s="1" cm="1">
        <f t="array" ref="AY32">bdPSNRExtend(AX$17:AX$22,AY$17:AY$22,AX3:AX6,AY3:AY6)</f>
        <v>0.21715578903505378</v>
      </c>
      <c r="AZ32" s="1" cm="1">
        <f t="array" ref="AZ32">bdPSNRExtend(AX$17:AX$22,AZ$17:AZ$22,AX3:AX6,AZ3:AZ6)</f>
        <v>-0.12852048567620511</v>
      </c>
      <c r="BA32" s="1" cm="1">
        <f t="array" ref="BA32">bdPSNRExtend(AX$17:AX$22,BA$17:BA$22,AX3:AX6,BA3:BA6)</f>
        <v>0.38501156471596182</v>
      </c>
      <c r="BB32" s="1" cm="1">
        <f t="array" ref="BB32">bdPSNRExtend(AX$17:AX$22,BB$17:BB$22,AX3:AX6,BB3:BB6)</f>
        <v>0.29355763059188705</v>
      </c>
      <c r="BC32" s="1" cm="1">
        <f t="array" ref="BC32">bdPSNRExtend(AX$17:AX$22,BC$17:BC$22,AX3:AX6,BC3:BC6)</f>
        <v>-4.5739209322122923E-4</v>
      </c>
      <c r="BE32" s="1" cm="1">
        <f t="array" ref="BE32">bdPSNRExtend(BD$17:BD$22,BE$17:BE$22,BD3:BD6,BE3:BE6)</f>
        <v>1.751725536630317</v>
      </c>
      <c r="BF32" s="1" cm="1">
        <f t="array" ref="BF32">bdPSNRExtend(BD$17:BD$22,BF$17:BF$22,BD3:BD6,BF3:BF6)</f>
        <v>2.3994912438763012</v>
      </c>
      <c r="BG32" s="1" cm="1">
        <f t="array" ref="BG32">bdPSNRExtend(BD$17:BD$22,BG$17:BG$22,BD3:BD6,BG3:BG6)</f>
        <v>0.17552150872056296</v>
      </c>
      <c r="BH32" s="1" cm="1">
        <f t="array" ref="BH32">bdPSNRExtend(BD$17:BD$22,BH$17:BH$22,BD3:BD6,BH3:BH6)</f>
        <v>0.28754292314122182</v>
      </c>
      <c r="BI32" s="1" cm="1">
        <f t="array" ref="BI32">bdPSNRExtend(BD$17:BD$22,BI$17:BI$22,BD3:BD6,BI3:BI6)</f>
        <v>9.3676232111940868E-4</v>
      </c>
      <c r="BK32" s="1" cm="1">
        <f t="array" ref="BK32">bdPSNRExtend(BJ$17:BJ$22,BK$17:BK$22,BJ3:BJ6,BK3:BK6)</f>
        <v>1.1770801084280986</v>
      </c>
      <c r="BL32" s="1" cm="1">
        <f t="array" ref="BL32">bdPSNRExtend(BJ$17:BJ$22,BL$17:BL$22,BJ3:BJ6,BL3:BL6)</f>
        <v>2.9230137945489152</v>
      </c>
      <c r="BM32" s="1" cm="1">
        <f t="array" ref="BM32">bdPSNRExtend(BJ$17:BJ$22,BM$17:BM$22,BJ3:BJ6,BM3:BM6)</f>
        <v>-0.57295291839756979</v>
      </c>
      <c r="BN32" s="1" cm="1">
        <f t="array" ref="BN32">bdPSNRExtend(BJ$17:BJ$22,BN$17:BN$22,BJ3:BJ6,BN3:BN6)</f>
        <v>-0.58054830762263321</v>
      </c>
      <c r="BO32" s="1" cm="1">
        <f t="array" ref="BO32">bdPSNRExtend(BJ$17:BJ$22,BO$17:BO$22,BJ3:BJ6,BO3:BO6)</f>
        <v>-2.02892682248284E-4</v>
      </c>
      <c r="BQ32" s="1" cm="1">
        <f t="array" ref="BQ32">bdPSNRExtend(BP$17:BP$22,BQ$17:BQ$22,BP3:BP6,BQ3:BQ6)</f>
        <v>-3.1187263420016431</v>
      </c>
      <c r="BR32" s="1" cm="1">
        <f t="array" ref="BR32">bdPSNRExtend(BP$17:BP$22,BR$17:BR$22,BP3:BP6,BR3:BR6)</f>
        <v>-2.6049214688175346</v>
      </c>
      <c r="BS32" s="1" cm="1">
        <f t="array" ref="BS32">bdPSNRExtend(BP$17:BP$22,BS$17:BS$22,BP3:BP6,BS3:BS6)</f>
        <v>-0.60240391234381152</v>
      </c>
      <c r="BT32" s="1" cm="1">
        <f t="array" ref="BT32">bdPSNRExtend(BP$17:BP$22,BT$17:BT$22,BP3:BP6,BT3:BT6)</f>
        <v>-0.47377528844688793</v>
      </c>
      <c r="BU32" s="1" cm="1">
        <f t="array" ref="BU32">bdPSNRExtend(BP$17:BP$22,BU$17:BU$22,BP3:BP6,BU3:BU6)</f>
        <v>-2.9677117637249249E-4</v>
      </c>
      <c r="BW32" s="1"/>
      <c r="BX32" s="1"/>
      <c r="BY32" s="1"/>
      <c r="BZ32" s="1"/>
      <c r="CA32" s="1"/>
      <c r="CC32" s="1"/>
      <c r="CD32" s="1"/>
      <c r="CE32" s="1"/>
      <c r="CF32" s="1"/>
      <c r="CG32" s="1"/>
      <c r="CI32" s="1"/>
      <c r="CJ32" s="1"/>
      <c r="CK32" s="1"/>
      <c r="CL32" s="1"/>
      <c r="CM32" s="1"/>
    </row>
    <row r="33" spans="1:91" x14ac:dyDescent="0.35">
      <c r="A33" s="108" t="str">
        <f>A28</f>
        <v>JPEG PCC VM v4.1 (VVC)</v>
      </c>
      <c r="B33" t="s">
        <v>17</v>
      </c>
      <c r="C33" s="10" cm="1">
        <f t="array" ref="C33">bdRateExtend(B$17:B$22,C$17:C$22,B7:B10,C7:C10)</f>
        <v>-0.23077625711106087</v>
      </c>
      <c r="D33" s="10" cm="1">
        <f t="array" ref="D33">bdRateExtend(B$17:B$22,D$17:D$22,B7:B10,D7:D10)</f>
        <v>-0.1681135272944132</v>
      </c>
      <c r="E33" s="10" cm="1">
        <f t="array" ref="E33">bdRateExtend(B$17:B$22,E$17:E$22,B7:B10,E7:E10)</f>
        <v>0.42977759415386418</v>
      </c>
      <c r="F33" s="10" cm="1">
        <f t="array" ref="F33">bdRateExtend(B$17:B$22,F$17:F$22,B7:B10,F7:F10)</f>
        <v>0.15271774134105232</v>
      </c>
      <c r="G33" s="10" cm="1">
        <f t="array" ref="G33">bdRateExtend(B$17:B$22,G$17:G$22,B7:B10,G7:G10)</f>
        <v>0.29132693993481573</v>
      </c>
      <c r="I33" s="10" cm="1">
        <f t="array" ref="I33">bdRateExtend(H$17:H$22,I$17:I$22,H7:H10,I7:I10)</f>
        <v>-0.74881315319789554</v>
      </c>
      <c r="J33" s="10" cm="1">
        <f t="array" ref="J33">bdRateExtend(H$17:H$22,J$17:J$22,H7:H10,J7:J10)</f>
        <v>-0.74786142444935033</v>
      </c>
      <c r="K33" s="10" cm="1">
        <f t="array" ref="K33">bdRateExtend(H$17:H$22,K$17:K$22,H7:H10,K7:K10)</f>
        <v>0.68825457167348536</v>
      </c>
      <c r="L33" s="10" cm="1">
        <f t="array" ref="L33">bdRateExtend(H$17:H$22,L$17:L$22,H7:H10,L7:L10)</f>
        <v>0.45869569027118073</v>
      </c>
      <c r="M33" s="10" cm="1">
        <f t="array" ref="M33">bdRateExtend(H$17:H$22,M$17:M$22,H7:H10,M7:M10)</f>
        <v>0.19495463734689</v>
      </c>
      <c r="O33" s="10" cm="1">
        <f t="array" ref="O33">bdRateExtend(N$17:N$22,O$17:O$22,N7:N10,O7:O10)</f>
        <v>-0.38385570251235079</v>
      </c>
      <c r="P33" s="10" cm="1">
        <f t="array" ref="P33">bdRateExtend(N$17:N$22,P$17:P$22,N7:N10,P7:P10)</f>
        <v>-0.41342512055599367</v>
      </c>
      <c r="Q33" s="10" cm="1">
        <f t="array" ref="Q33">bdRateExtend(N$17:N$22,Q$17:Q$22,N7:N10,Q7:Q10)</f>
        <v>0.38849618574892708</v>
      </c>
      <c r="R33" s="10" cm="1">
        <f t="array" ref="R33">bdRateExtend(N$17:N$22,R$17:R$22,N7:N10,R7:R10)</f>
        <v>0.19253292359695928</v>
      </c>
      <c r="S33" s="10" cm="1">
        <f t="array" ref="S33">bdRateExtend(N$17:N$22,S$17:S$22,N7:N10,S7:S10)</f>
        <v>4.8187881353522144E-2</v>
      </c>
      <c r="U33" s="10" cm="1">
        <f t="array" ref="U33">bdRateExtend(T$17:T$22,U$17:U$22,T7:T10,U7:U10)</f>
        <v>-0.5284618016873972</v>
      </c>
      <c r="V33" s="10" cm="1">
        <f t="array" ref="V33">bdRateExtend(T$17:T$22,V$17:V$22,T7:T10,V7:V10)</f>
        <v>-0.49190849966179528</v>
      </c>
      <c r="W33" s="10" cm="1">
        <f t="array" ref="W33">bdRateExtend(T$17:T$22,W$17:W$22,T7:T10,W7:W10)</f>
        <v>0.29063190806353312</v>
      </c>
      <c r="X33" s="10" cm="1">
        <f t="array" ref="X33">bdRateExtend(T$17:T$22,X$17:X$22,T7:T10,X7:X10)</f>
        <v>0.12415231244135838</v>
      </c>
      <c r="Y33" s="10" cm="1">
        <f t="array" ref="Y33">bdRateExtend(T$17:T$22,Y$17:Y$22,T7:T10,Y7:Y10)</f>
        <v>-0.23431849780826264</v>
      </c>
      <c r="AA33" s="10" cm="1">
        <f t="array" ref="AA33">bdRateExtend(Z$17:Z$22,AA$17:AA$22,Z7:Z10,AA7:AA10)</f>
        <v>-0.33774389649091074</v>
      </c>
      <c r="AB33" s="10" cm="1">
        <f t="array" ref="AB33">bdRateExtend(Z$17:Z$22,AB$17:AB$22,Z7:Z10,AB7:AB10)</f>
        <v>-0.33518259609841927</v>
      </c>
      <c r="AC33" s="10" cm="1">
        <f t="array" ref="AC33">bdRateExtend(Z$17:Z$22,AC$17:AC$22,Z7:Z10,AC7:AC10)</f>
        <v>0.15780499983484075</v>
      </c>
      <c r="AD33" s="10" cm="1">
        <f t="array" ref="AD33">bdRateExtend(Z$17:Z$22,AD$17:AD$22,Z7:Z10,AD7:AD10)</f>
        <v>1.3564564762769793E-2</v>
      </c>
      <c r="AE33" s="10" cm="1">
        <f t="array" ref="AE33">bdRateExtend(Z$17:Z$22,AE$17:AE$22,Z7:Z10,AE7:AE10)</f>
        <v>-7.0447050544202416E-2</v>
      </c>
      <c r="AG33" s="10" cm="1">
        <f t="array" ref="AG33">bdRateExtend(AF$17:AF$22,AG$17:AG$22,AF7:AF10,AG7:AG10)</f>
        <v>8.7591399410330339E-2</v>
      </c>
      <c r="AH33" s="10" cm="1">
        <f t="array" ref="AH33">bdRateExtend(AF$17:AF$22,AH$17:AH$22,AF7:AF10,AH7:AH10)</f>
        <v>-0.36787231373446339</v>
      </c>
      <c r="AI33" s="10" cm="1">
        <f t="array" ref="AI33">bdRateExtend(AF$17:AF$22,AI$17:AI$22,AF7:AF10,AI7:AI10)</f>
        <v>1.1285357174226132</v>
      </c>
      <c r="AJ33" s="10" cm="1">
        <f t="array" ref="AJ33">bdRateExtend(AF$17:AF$22,AJ$17:AJ$22,AF7:AF10,AJ7:AJ10)</f>
        <v>0.63372912340048604</v>
      </c>
      <c r="AK33" s="10" cm="1">
        <f t="array" ref="AK33">bdRateExtend(AF$17:AF$22,AK$17:AK$22,AF7:AF10,AK7:AK10)</f>
        <v>0.24145887744749883</v>
      </c>
      <c r="AM33" s="10" cm="1">
        <f t="array" ref="AM33">bdRateExtend(AL$17:AL$22,AM$17:AM$22,AL7:AL10,AM7:AM10)</f>
        <v>0.3282729727278384</v>
      </c>
      <c r="AN33" s="10" cm="1">
        <f t="array" ref="AN33">bdRateExtend(AL$17:AL$22,AN$17:AN$22,AL7:AL10,AN7:AN10)</f>
        <v>0.40842361978934383</v>
      </c>
      <c r="AO33" s="10" cm="1">
        <f t="array" ref="AO33">bdRateExtend(AL$17:AL$22,AO$17:AO$22,AL7:AL10,AO7:AO10)</f>
        <v>6.5008423326738951E-2</v>
      </c>
      <c r="AP33" s="10" cm="1">
        <f t="array" ref="AP33">bdRateExtend(AL$17:AL$22,AP$17:AP$22,AL7:AL10,AP7:AP10)</f>
        <v>-0.23100234382761931</v>
      </c>
      <c r="AQ33" s="10" cm="1">
        <f t="array" ref="AQ33">bdRateExtend(AL$17:AL$22,AQ$17:AQ$22,AL7:AL10,AQ7:AQ10)</f>
        <v>-8.523231324148739E-2</v>
      </c>
      <c r="AS33" s="10" cm="1">
        <f t="array" ref="AS33">bdRateExtend(AR$17:AR$22,AS$17:AS$22,AR7:AR10,AS7:AS10)</f>
        <v>7.5366731335930179</v>
      </c>
      <c r="AT33" s="10" cm="1">
        <f t="array" ref="AT33">bdRateExtend(AR$17:AR$22,AT$17:AT$22,AR7:AR10,AT7:AT10)</f>
        <v>2.5355119118628209</v>
      </c>
      <c r="AU33" s="10" cm="1">
        <f t="array" ref="AU33">bdRateExtend(AR$17:AR$22,AU$17:AU$22,AR7:AR10,AU7:AU10)</f>
        <v>-0.12595257979478791</v>
      </c>
      <c r="AV33" s="10" cm="1">
        <f t="array" ref="AV33">bdRateExtend(AR$17:AR$22,AV$17:AV$22,AR7:AR10,AV7:AV10)</f>
        <v>-0.37647381236554045</v>
      </c>
      <c r="AW33" s="10" cm="1">
        <f t="array" ref="AW33">bdRateExtend(AR$17:AR$22,AW$17:AW$22,AR7:AR10,AW7:AW10)</f>
        <v>7.7981574626176942E-2</v>
      </c>
      <c r="AY33" s="10" cm="1">
        <f t="array" ref="AY33">bdRateExtend(AX$17:AX$22,AY$17:AY$22,AX7:AX10,AY7:AY10)</f>
        <v>5.0996476820207137E-2</v>
      </c>
      <c r="AZ33" s="10" cm="1">
        <f t="array" ref="AZ33">bdRateExtend(AX$17:AX$22,AZ$17:AZ$22,AX7:AX10,AZ7:AZ10)</f>
        <v>0.19969159725165908</v>
      </c>
      <c r="BA33" s="10" cm="1">
        <f t="array" ref="BA33">bdRateExtend(AX$17:AX$22,BA$17:BA$22,AX7:AX10,BA7:BA10)</f>
        <v>-0.40319573358370764</v>
      </c>
      <c r="BB33" s="10" cm="1">
        <f t="array" ref="BB33">bdRateExtend(AX$17:AX$22,BB$17:BB$22,AX7:AX10,BB7:BB10)</f>
        <v>-0.50022153796727831</v>
      </c>
      <c r="BC33" s="10" cm="1">
        <f t="array" ref="BC33">bdRateExtend(AX$17:AX$22,BC$17:BC$22,AX7:AX10,BC7:BC10)</f>
        <v>0.21203046749447196</v>
      </c>
      <c r="BE33" s="10" cm="1">
        <f t="array" ref="BE33">bdRateExtend(BD$17:BD$22,BE$17:BE$22,BD7:BD10,BE7:BE10)</f>
        <v>-0.19082870996650814</v>
      </c>
      <c r="BF33" s="10" cm="1">
        <f t="array" ref="BF33">bdRateExtend(BD$17:BD$22,BF$17:BF$22,BD7:BD10,BF7:BF10)</f>
        <v>-0.36100185153583597</v>
      </c>
      <c r="BG33" s="10" cm="1">
        <f t="array" ref="BG33">bdRateExtend(BD$17:BD$22,BG$17:BG$22,BD7:BD10,BG7:BG10)</f>
        <v>-0.39015658411660081</v>
      </c>
      <c r="BH33" s="10" cm="1">
        <f t="array" ref="BH33">bdRateExtend(BD$17:BD$22,BH$17:BH$22,BD7:BD10,BH7:BH10)</f>
        <v>-0.52153414184383728</v>
      </c>
      <c r="BI33" s="10" cm="1">
        <f t="array" ref="BI33">bdRateExtend(BD$17:BD$22,BI$17:BI$22,BD7:BD10,BI7:BI10)</f>
        <v>-0.24241186995873187</v>
      </c>
      <c r="BK33" s="10" cm="1">
        <f t="array" ref="BK33">bdRateExtend(BJ$17:BJ$22,BK$17:BK$22,BJ7:BJ10,BK7:BK10)</f>
        <v>-0.24711438891396109</v>
      </c>
      <c r="BL33" s="10" cm="1">
        <f t="array" ref="BL33">bdRateExtend(BJ$17:BJ$22,BL$17:BL$22,BJ7:BJ10,BL7:BL10)</f>
        <v>-0.61336755852505331</v>
      </c>
      <c r="BM33" s="10" cm="1">
        <f t="array" ref="BM33">bdRateExtend(BJ$17:BJ$22,BM$17:BM$22,BJ7:BJ10,BM7:BM10)</f>
        <v>9.6367669597930306E-2</v>
      </c>
      <c r="BN33" s="10" cm="1">
        <f t="array" ref="BN33">bdRateExtend(BJ$17:BJ$22,BN$17:BN$22,BJ7:BJ10,BN7:BN10)</f>
        <v>-3.0365408535331984E-2</v>
      </c>
      <c r="BO33" s="10" cm="1">
        <f t="array" ref="BO33">bdRateExtend(BJ$17:BJ$22,BO$17:BO$22,BJ7:BJ10,BO7:BO10)</f>
        <v>0.1167847752749458</v>
      </c>
      <c r="BQ33" s="10" cm="1">
        <f t="array" ref="BQ33">bdRateExtend(BP$17:BP$22,BQ$17:BQ$22,BP7:BP10,BQ7:BQ10)</f>
        <v>0.75606636259421656</v>
      </c>
      <c r="BR33" s="10" cm="1">
        <f t="array" ref="BR33">bdRateExtend(BP$17:BP$22,BR$17:BR$22,BP7:BP10,BR7:BR10)</f>
        <v>7.5338759247929099E-2</v>
      </c>
      <c r="BS33" s="10" cm="1">
        <f t="array" ref="BS33">bdRateExtend(BP$17:BP$22,BS$17:BS$22,BP7:BP10,BS7:BS10)</f>
        <v>0.24362081892283771</v>
      </c>
      <c r="BT33" s="10" cm="1">
        <f t="array" ref="BT33">bdRateExtend(BP$17:BP$22,BT$17:BT$22,BP7:BP10,BT7:BT10)</f>
        <v>-0.16988808729673499</v>
      </c>
      <c r="BU33" s="10" cm="1">
        <f t="array" ref="BU33">bdRateExtend(BP$17:BP$22,BU$17:BU$22,BP7:BP10,BU7:BU10)</f>
        <v>0.12481955221735808</v>
      </c>
      <c r="BW33" s="10"/>
      <c r="BX33" s="10"/>
      <c r="BY33" s="10"/>
      <c r="BZ33" s="10"/>
      <c r="CA33" s="10"/>
      <c r="CC33" s="10"/>
      <c r="CD33" s="10"/>
      <c r="CE33" s="10"/>
      <c r="CF33" s="10"/>
      <c r="CG33" s="10"/>
      <c r="CI33" s="10"/>
      <c r="CJ33" s="10"/>
      <c r="CK33" s="10"/>
      <c r="CL33" s="10"/>
      <c r="CM33" s="10"/>
    </row>
    <row r="34" spans="1:91" x14ac:dyDescent="0.35">
      <c r="A34" s="108"/>
      <c r="B34" t="s">
        <v>18</v>
      </c>
      <c r="C34" s="1" cm="1">
        <f t="array" ref="C34">bdPSNRExtend(B$17:B$22,C$17:C$22,B7:B10,C7:C10)</f>
        <v>2.1298299831961121</v>
      </c>
      <c r="D34" s="1" cm="1">
        <f t="array" ref="D34">bdPSNRExtend(B$17:B$22,D$17:D$22,B7:B10,D7:D10)</f>
        <v>2.5063727640475517</v>
      </c>
      <c r="E34" s="1" cm="1">
        <f t="array" ref="E34">bdPSNRExtend(B$17:B$22,E$17:E$22,B7:B10,E7:E10)</f>
        <v>-1.1005323783589356</v>
      </c>
      <c r="F34" s="1" cm="1">
        <f t="array" ref="F34">bdPSNRExtend(B$17:B$22,F$17:F$22,B7:B10,F7:F10)</f>
        <v>-0.4171540511333785</v>
      </c>
      <c r="G34" s="1" cm="1">
        <f t="array" ref="G34">bdPSNRExtend(B$17:B$22,G$17:G$22,B7:B10,G7:G10)</f>
        <v>-2.3180154860962285E-3</v>
      </c>
      <c r="I34" s="1" cm="1">
        <f t="array" ref="I34">bdPSNRExtend(H$17:H$22,I$17:I$22,H7:H10,I7:I10)</f>
        <v>3.9174029877902536</v>
      </c>
      <c r="J34" s="1" cm="1">
        <f t="array" ref="J34">bdPSNRExtend(H$17:H$22,J$17:J$22,H7:H10,J7:J10)</f>
        <v>4.3641678837146305</v>
      </c>
      <c r="K34" s="1" cm="1">
        <f t="array" ref="K34">bdPSNRExtend(H$17:H$22,K$17:K$22,H7:H10,K7:K10)</f>
        <v>-1.3673519677130332</v>
      </c>
      <c r="L34" s="1" cm="1">
        <f t="array" ref="L34">bdPSNRExtend(H$17:H$22,L$17:L$22,H7:H10,L7:L10)</f>
        <v>-0.92815633427629052</v>
      </c>
      <c r="M34" s="1" cm="1">
        <f t="array" ref="M34">bdPSNRExtend(H$17:H$22,M$17:M$22,H7:H10,M7:M10)</f>
        <v>-2.0317817503525161E-3</v>
      </c>
      <c r="O34" s="1" cm="1">
        <f t="array" ref="O34">bdPSNRExtend(N$17:N$22,O$17:O$22,N7:N10,O7:O10)</f>
        <v>2.1745567055129795</v>
      </c>
      <c r="P34" s="1" cm="1">
        <f t="array" ref="P34">bdPSNRExtend(N$17:N$22,P$17:P$22,N7:N10,P7:P10)</f>
        <v>2.6567269806402734</v>
      </c>
      <c r="Q34" s="1" cm="1">
        <f t="array" ref="Q34">bdPSNRExtend(N$17:N$22,Q$17:Q$22,N7:N10,Q7:Q10)</f>
        <v>-1.5886982199210051</v>
      </c>
      <c r="R34" s="1" cm="1">
        <f t="array" ref="R34">bdPSNRExtend(N$17:N$22,R$17:R$22,N7:N10,R7:R10)</f>
        <v>-0.73161751413965614</v>
      </c>
      <c r="S34" s="1" cm="1">
        <f t="array" ref="S34">bdPSNRExtend(N$17:N$22,S$17:S$22,N7:N10,S7:S10)</f>
        <v>-1.8803744851124765E-4</v>
      </c>
      <c r="U34" s="1" cm="1">
        <f t="array" ref="U34">bdPSNRExtend(T$17:T$22,U$17:U$22,T7:T10,U7:U10)</f>
        <v>2.8276306841888093</v>
      </c>
      <c r="V34" s="1" cm="1">
        <f t="array" ref="V34">bdPSNRExtend(T$17:T$22,V$17:V$22,T7:T10,V7:V10)</f>
        <v>3.2500155483762785</v>
      </c>
      <c r="W34" s="1" cm="1">
        <f t="array" ref="W34">bdPSNRExtend(T$17:T$22,W$17:W$22,T7:T10,W7:W10)</f>
        <v>-1.2495390897270076</v>
      </c>
      <c r="X34" s="1" cm="1">
        <f t="array" ref="X34">bdPSNRExtend(T$17:T$22,X$17:X$22,T7:T10,X7:X10)</f>
        <v>-0.53900602869025815</v>
      </c>
      <c r="Y34" s="1" cm="1">
        <f t="array" ref="Y34">bdPSNRExtend(T$17:T$22,Y$17:Y$22,T7:T10,Y7:Y10)</f>
        <v>4.4865367835323554E-4</v>
      </c>
      <c r="AA34" s="1" cm="1">
        <f t="array" ref="AA34">bdPSNRExtend(Z$17:Z$22,AA$17:AA$22,Z7:Z10,AA7:AA10)</f>
        <v>0.96647853854964605</v>
      </c>
      <c r="AB34" s="1" cm="1">
        <f t="array" ref="AB34">bdPSNRExtend(Z$17:Z$22,AB$17:AB$22,Z7:Z10,AB7:AB10)</f>
        <v>1.8576943603392342</v>
      </c>
      <c r="AC34" s="1" cm="1">
        <f t="array" ref="AC34">bdPSNRExtend(Z$17:Z$22,AC$17:AC$22,Z7:Z10,AC7:AC10)</f>
        <v>-0.79161217577168086</v>
      </c>
      <c r="AD34" s="1" cm="1">
        <f t="array" ref="AD34">bdPSNRExtend(Z$17:Z$22,AD$17:AD$22,Z7:Z10,AD7:AD10)</f>
        <v>-0.10985510502452085</v>
      </c>
      <c r="AE34" s="1" cm="1">
        <f t="array" ref="AE34">bdPSNRExtend(Z$17:Z$22,AE$17:AE$22,Z7:Z10,AE7:AE10)</f>
        <v>2.1655985194011555E-4</v>
      </c>
      <c r="AG34" s="1" cm="1">
        <f t="array" ref="AG34">bdPSNRExtend(AF$17:AF$22,AG$17:AG$22,AF7:AF10,AG7:AG10)</f>
        <v>-0.24568081540576173</v>
      </c>
      <c r="AH34" s="1" cm="1">
        <f t="array" ref="AH34">bdPSNRExtend(AF$17:AF$22,AH$17:AH$22,AF7:AF10,AH7:AH10)</f>
        <v>1.6457846150172148</v>
      </c>
      <c r="AI34" s="1" cm="1">
        <f t="array" ref="AI34">bdPSNRExtend(AF$17:AF$22,AI$17:AI$22,AF7:AF10,AI7:AI10)</f>
        <v>-1.3379746609705974</v>
      </c>
      <c r="AJ34" s="1" cm="1">
        <f t="array" ref="AJ34">bdPSNRExtend(AF$17:AF$22,AJ$17:AJ$22,AF7:AF10,AJ7:AJ10)</f>
        <v>-0.78574533017898596</v>
      </c>
      <c r="AK34" s="1" cm="1">
        <f t="array" ref="AK34">bdPSNRExtend(AF$17:AF$22,AK$17:AK$22,AF7:AF10,AK7:AK10)</f>
        <v>-5.5220838707738566E-4</v>
      </c>
      <c r="AM34" s="1" cm="1">
        <f t="array" ref="AM34">bdPSNRExtend(AL$17:AL$22,AM$17:AM$22,AL7:AL10,AM7:AM10)</f>
        <v>-1.0145832346602162</v>
      </c>
      <c r="AN34" s="1" cm="1">
        <f t="array" ref="AN34">bdPSNRExtend(AL$17:AL$22,AN$17:AN$22,AL7:AL10,AN7:AN10)</f>
        <v>-1.3709403198720622</v>
      </c>
      <c r="AO34" s="1" cm="1">
        <f t="array" ref="AO34">bdPSNRExtend(AL$17:AL$22,AO$17:AO$22,AL7:AL10,AO7:AO10)</f>
        <v>-0.35179014626570021</v>
      </c>
      <c r="AP34" s="1" cm="1">
        <f t="array" ref="AP34">bdPSNRExtend(AL$17:AL$22,AP$17:AP$22,AL7:AL10,AP7:AP10)</f>
        <v>0.22431366366165251</v>
      </c>
      <c r="AQ34" s="1" cm="1">
        <f t="array" ref="AQ34">bdPSNRExtend(AL$17:AL$22,AQ$17:AQ$22,AL7:AL10,AQ7:AQ10)</f>
        <v>7.1822601008177827E-5</v>
      </c>
      <c r="AS34" s="1" cm="1">
        <f t="array" ref="AS34">bdPSNRExtend(AR$17:AR$22,AS$17:AS$22,AR7:AR10,AS7:AS10)</f>
        <v>-7.3724361475259661</v>
      </c>
      <c r="AT34" s="1" cm="1">
        <f t="array" ref="AT34">bdPSNRExtend(AR$17:AR$22,AT$17:AT$22,AR7:AR10,AT7:AT10)</f>
        <v>-5.4221018165062036</v>
      </c>
      <c r="AU34" s="1" cm="1">
        <f t="array" ref="AU34">bdPSNRExtend(AR$17:AR$22,AU$17:AU$22,AR7:AR10,AU7:AU10)</f>
        <v>0.19741084554243404</v>
      </c>
      <c r="AV34" s="1" cm="1">
        <f t="array" ref="AV34">bdPSNRExtend(AR$17:AR$22,AV$17:AV$22,AR7:AR10,AV7:AV10)</f>
        <v>1.0095664231586676</v>
      </c>
      <c r="AW34" s="1" cm="1">
        <f t="array" ref="AW34">bdPSNRExtend(AR$17:AR$22,AW$17:AW$22,AR7:AR10,AW7:AW10)</f>
        <v>-1.3788357211896404E-4</v>
      </c>
      <c r="AY34" s="1" cm="1">
        <f t="array" ref="AY34">bdPSNRExtend(AX$17:AX$22,AY$17:AY$22,AX7:AX10,AY7:AY10)</f>
        <v>-0.19625978984336648</v>
      </c>
      <c r="AZ34" s="1" cm="1">
        <f t="array" ref="AZ34">bdPSNRExtend(AX$17:AX$22,AZ$17:AZ$22,AX7:AX10,AZ7:AZ10)</f>
        <v>-0.6747610964266636</v>
      </c>
      <c r="BA34" s="1" cm="1">
        <f t="array" ref="BA34">bdPSNRExtend(AX$17:AX$22,BA$17:BA$22,AX7:AX10,BA7:BA10)</f>
        <v>0.70876699230071727</v>
      </c>
      <c r="BB34" s="1" cm="1">
        <f t="array" ref="BB34">bdPSNRExtend(AX$17:AX$22,BB$17:BB$22,AX7:AX10,BB7:BB10)</f>
        <v>0.98209349285284431</v>
      </c>
      <c r="BC34" s="1" cm="1">
        <f t="array" ref="BC34">bdPSNRExtend(AX$17:AX$22,BC$17:BC$22,AX7:AX10,BC7:BC10)</f>
        <v>-4.7374013861303267E-4</v>
      </c>
      <c r="BE34" s="1" cm="1">
        <f t="array" ref="BE34">bdPSNRExtend(BD$17:BD$22,BE$17:BE$22,BD7:BD10,BE7:BE10)</f>
        <v>1.3467166601254219</v>
      </c>
      <c r="BF34" s="1" cm="1">
        <f t="array" ref="BF34">bdPSNRExtend(BD$17:BD$22,BF$17:BF$22,BD7:BD10,BF7:BF10)</f>
        <v>2.0233391241218057</v>
      </c>
      <c r="BG34" s="1" cm="1">
        <f t="array" ref="BG34">bdPSNRExtend(BD$17:BD$22,BG$17:BG$22,BD7:BD10,BG7:BG10)</f>
        <v>0.55459107369159555</v>
      </c>
      <c r="BH34" s="1" cm="1">
        <f t="array" ref="BH34">bdPSNRExtend(BD$17:BD$22,BH$17:BH$22,BD7:BD10,BH7:BH10)</f>
        <v>0.76906377258269842</v>
      </c>
      <c r="BI34" s="1" cm="1">
        <f t="array" ref="BI34">bdPSNRExtend(BD$17:BD$22,BI$17:BI$22,BD7:BD10,BI7:BI10)</f>
        <v>1.1355028875491252E-3</v>
      </c>
      <c r="BK34" s="1" cm="1">
        <f t="array" ref="BK34">bdPSNRExtend(BJ$17:BJ$22,BK$17:BK$22,BJ7:BJ10,BK7:BK10)</f>
        <v>0.97969064084751156</v>
      </c>
      <c r="BL34" s="1" cm="1">
        <f t="array" ref="BL34">bdPSNRExtend(BJ$17:BJ$22,BL$17:BL$22,BJ7:BJ10,BL7:BL10)</f>
        <v>2.6527282745241703</v>
      </c>
      <c r="BM34" s="1" cm="1">
        <f t="array" ref="BM34">bdPSNRExtend(BJ$17:BJ$22,BM$17:BM$22,BJ7:BJ10,BM7:BM10)</f>
        <v>-0.22547674782434382</v>
      </c>
      <c r="BN34" s="1" cm="1">
        <f t="array" ref="BN34">bdPSNRExtend(BJ$17:BJ$22,BN$17:BN$22,BJ7:BJ10,BN7:BN10)</f>
        <v>0.11142981031674788</v>
      </c>
      <c r="BO34" s="1" cm="1">
        <f t="array" ref="BO34">bdPSNRExtend(BJ$17:BJ$22,BO$17:BO$22,BJ7:BJ10,BO7:BO10)</f>
        <v>-4.0782492391744455E-4</v>
      </c>
      <c r="BQ34" s="1" cm="1">
        <f t="array" ref="BQ34">bdPSNRExtend(BP$17:BP$22,BQ$17:BQ$22,BP7:BP10,BQ7:BQ10)</f>
        <v>-2.6924885750993095</v>
      </c>
      <c r="BR34" s="1" cm="1">
        <f t="array" ref="BR34">bdPSNRExtend(BP$17:BP$22,BR$17:BR$22,BP7:BP10,BR7:BR10)</f>
        <v>-2.2633446606413434</v>
      </c>
      <c r="BS34" s="1" cm="1">
        <f t="array" ref="BS34">bdPSNRExtend(BP$17:BP$22,BS$17:BS$22,BP7:BP10,BS7:BS10)</f>
        <v>-0.49956721048479041</v>
      </c>
      <c r="BT34" s="1" cm="1">
        <f t="array" ref="BT34">bdPSNRExtend(BP$17:BP$22,BT$17:BT$22,BP7:BP10,BT7:BT10)</f>
        <v>0.11929620953791602</v>
      </c>
      <c r="BU34" s="1" cm="1">
        <f t="array" ref="BU34">bdPSNRExtend(BP$17:BP$22,BU$17:BU$22,BP7:BP10,BU7:BU10)</f>
        <v>-4.4775792878011035E-4</v>
      </c>
      <c r="BW34" s="1"/>
      <c r="BX34" s="1"/>
      <c r="BY34" s="1"/>
      <c r="BZ34" s="1"/>
      <c r="CA34" s="1"/>
      <c r="CC34" s="1"/>
      <c r="CD34" s="1"/>
      <c r="CE34" s="1"/>
      <c r="CF34" s="1"/>
      <c r="CG34" s="1"/>
      <c r="CI34" s="1"/>
      <c r="CJ34" s="1"/>
      <c r="CK34" s="1"/>
      <c r="CL34" s="1"/>
      <c r="CM34" s="1"/>
    </row>
    <row r="35" spans="1:91" x14ac:dyDescent="0.35">
      <c r="A35" t="s">
        <v>173</v>
      </c>
      <c r="C35" s="1"/>
      <c r="D35" s="1"/>
      <c r="E35" s="1"/>
      <c r="F35" s="1"/>
      <c r="G35" s="1"/>
      <c r="I35" s="1"/>
      <c r="J35" s="1"/>
      <c r="K35" s="1"/>
      <c r="L35" s="1"/>
      <c r="M35" s="1"/>
      <c r="O35" s="1"/>
      <c r="P35" s="1"/>
      <c r="Q35" s="1"/>
      <c r="R35" s="1"/>
      <c r="S35" s="1"/>
      <c r="U35" s="1"/>
      <c r="V35" s="1"/>
      <c r="W35" s="1"/>
      <c r="X35" s="1"/>
      <c r="Y35" s="1"/>
      <c r="AA35" s="1"/>
      <c r="AB35" s="1"/>
      <c r="AC35" s="1"/>
      <c r="AD35" s="1"/>
      <c r="AE35" s="1"/>
      <c r="AG35" s="1"/>
      <c r="AH35" s="1"/>
      <c r="AI35" s="1"/>
      <c r="AJ35" s="1"/>
      <c r="AK35" s="1"/>
      <c r="AM35" s="1"/>
      <c r="AN35" s="1"/>
      <c r="AO35" s="1"/>
      <c r="AP35" s="1"/>
      <c r="AQ35" s="1"/>
      <c r="AS35" s="1"/>
      <c r="AT35" s="1"/>
      <c r="AU35" s="1"/>
      <c r="AV35" s="1"/>
      <c r="AW35" s="1"/>
      <c r="AY35" s="1"/>
      <c r="AZ35" s="1"/>
      <c r="BA35" s="1"/>
      <c r="BB35" s="1"/>
      <c r="BC35" s="1"/>
      <c r="BE35" s="1"/>
      <c r="BF35" s="1"/>
      <c r="BG35" s="1"/>
      <c r="BH35" s="1"/>
      <c r="BI35" s="1"/>
      <c r="BK35" s="1"/>
      <c r="BL35" s="1"/>
      <c r="BM35" s="1"/>
      <c r="BN35" s="1"/>
      <c r="BO35" s="1"/>
      <c r="BQ35" s="1"/>
      <c r="BR35" s="1"/>
      <c r="BS35" s="1"/>
      <c r="BT35" s="1"/>
      <c r="BU35" s="1"/>
      <c r="BW35" s="1"/>
      <c r="BX35" s="1"/>
      <c r="BY35" s="1"/>
      <c r="BZ35" s="1"/>
      <c r="CA35" s="1"/>
      <c r="CC35" s="1"/>
      <c r="CD35" s="1"/>
      <c r="CE35" s="1"/>
      <c r="CF35" s="1"/>
      <c r="CG35" s="1"/>
      <c r="CI35" s="1"/>
      <c r="CJ35" s="1"/>
      <c r="CK35" s="1"/>
      <c r="CL35" s="1"/>
      <c r="CM35" s="1"/>
    </row>
    <row r="36" spans="1:91" x14ac:dyDescent="0.35">
      <c r="A36" s="108" t="str">
        <f>A7</f>
        <v>JPEG PCC VM v4.1 (VVC)</v>
      </c>
      <c r="B36" t="s">
        <v>17</v>
      </c>
      <c r="C36" s="10" cm="1">
        <f t="array" ref="C36">bdRateExtend(B$3:B$6,C$3:C$6,B7:B10,C7:C10)</f>
        <v>-0.11910372813873082</v>
      </c>
      <c r="D36" s="10" cm="1">
        <f t="array" ref="D36">bdRateExtend(B$3:B$6,D$3:D$6,B7:B10,D7:D10)</f>
        <v>-0.12075343614099221</v>
      </c>
      <c r="E36" s="10" cm="1">
        <f t="array" ref="E36">bdRateExtend(B$3:B$6,E$3:E$6,B7:B10,E7:E10)</f>
        <v>-0.22352017113764211</v>
      </c>
      <c r="F36" s="10" cm="1">
        <f t="array" ref="F36">bdRateExtend(B$3:B$6,F$3:F$6,B7:B10,F7:F10)</f>
        <v>-0.31221667036760548</v>
      </c>
      <c r="G36" s="10" cm="1">
        <f t="array" ref="G36">bdRateExtend(B$3:B$6,G$3:G$6,B7:B10,G7:G10)</f>
        <v>-5.7859024452301178E-2</v>
      </c>
      <c r="I36" s="10" cm="1">
        <f t="array" ref="I36">bdRateExtend(H$3:H$6,I$3:I$6,H7:H10,I7:I10)</f>
        <v>0.12621689471891862</v>
      </c>
      <c r="J36" s="10" cm="1">
        <f t="array" ref="J36">bdRateExtend(H$3:H$6,J$3:J$6,H7:H10,J7:J10)</f>
        <v>0.11951336942306168</v>
      </c>
      <c r="K36" s="10" cm="1">
        <f t="array" ref="K36">bdRateExtend(H$3:H$6,K$3:K$6,H7:H10,K7:K10)</f>
        <v>-0.21172704058650138</v>
      </c>
      <c r="L36" s="10" cm="1">
        <f t="array" ref="L36">bdRateExtend(H$3:H$6,L$3:L$6,H7:H10,L7:L10)</f>
        <v>-0.34854662761940503</v>
      </c>
      <c r="M36" s="10" cm="1">
        <f t="array" ref="M36">bdRateExtend(H$3:H$6,M$3:M$6,H7:H10,M7:M10)</f>
        <v>-5.085430776200428E-2</v>
      </c>
      <c r="O36" s="10" cm="1">
        <f t="array" ref="O36">bdRateExtend(N$3:N$6,O$3:O$6,N7:N10,O7:O10)</f>
        <v>1.3251693954155375E-2</v>
      </c>
      <c r="P36" s="10" cm="1">
        <f t="array" ref="P36">bdRateExtend(N$3:N$6,P$3:P$6,N7:N10,P7:P10)</f>
        <v>1.4559118385627512E-2</v>
      </c>
      <c r="Q36" s="10" cm="1">
        <f t="array" ref="Q36">bdRateExtend(N$3:N$6,Q$3:Q$6,N7:N10,Q7:Q10)</f>
        <v>-0.11844354907786803</v>
      </c>
      <c r="R36" s="10" cm="1">
        <f t="array" ref="R36">bdRateExtend(N$3:N$6,R$3:R$6,N7:N10,R7:R10)</f>
        <v>-0.20629818874436634</v>
      </c>
      <c r="S36" s="10" cm="1">
        <f t="array" ref="S36">bdRateExtend(N$3:N$6,S$3:S$6,N7:N10,S7:S10)</f>
        <v>3.6302712183501562E-2</v>
      </c>
      <c r="U36" s="10" cm="1">
        <f t="array" ref="U36">bdRateExtend(T$3:T$6,U$3:U$6,T7:T10,U7:U10)</f>
        <v>0.13349063844418985</v>
      </c>
      <c r="V36" s="10" cm="1">
        <f t="array" ref="V36">bdRateExtend(T$3:T$6,V$3:V$6,T7:T10,V7:V10)</f>
        <v>0.13203079053776845</v>
      </c>
      <c r="W36" s="10" cm="1">
        <f t="array" ref="W36">bdRateExtend(T$3:T$6,W$3:W$6,T7:T10,W7:W10)</f>
        <v>-8.3517812838624916E-2</v>
      </c>
      <c r="X36" s="10" cm="1">
        <f t="array" ref="X36">bdRateExtend(T$3:T$6,X$3:X$6,T7:T10,X7:X10)</f>
        <v>-0.2496913909318903</v>
      </c>
      <c r="Y36" s="10" cm="1">
        <f t="array" ref="Y36">bdRateExtend(T$3:T$6,Y$3:Y$6,T7:T10,Y7:Y10)</f>
        <v>5.5278498989160818E-2</v>
      </c>
      <c r="AA36" s="10" cm="1">
        <f t="array" ref="AA36">bdRateExtend(Z$3:Z$6,AA$3:AA$6,Z7:Z10,AA7:AA10)</f>
        <v>-8.7846296838193005E-2</v>
      </c>
      <c r="AB36" s="10" cm="1">
        <f t="array" ref="AB36">bdRateExtend(Z$3:Z$6,AB$3:AB$6,Z7:Z10,AB7:AB10)</f>
        <v>-8.3134232124217999E-2</v>
      </c>
      <c r="AC36" s="10" cm="1">
        <f t="array" ref="AC36">bdRateExtend(Z$3:Z$6,AC$3:AC$6,Z7:Z10,AC7:AC10)</f>
        <v>-7.9412825030279466E-2</v>
      </c>
      <c r="AD36" s="10" cm="1">
        <f t="array" ref="AD36">bdRateExtend(Z$3:Z$6,AD$3:AD$6,Z7:Z10,AD7:AD10)</f>
        <v>-0.32676335762814235</v>
      </c>
      <c r="AE36" s="10" cm="1">
        <f t="array" ref="AE36">bdRateExtend(Z$3:Z$6,AE$3:AE$6,Z7:Z10,AE7:AE10)</f>
        <v>6.0332710762965203E-2</v>
      </c>
      <c r="AG36" s="10" cm="1">
        <f t="array" ref="AG36">bdRateExtend(AF$3:AF$6,AG$3:AG$6,AF7:AF10,AG7:AG10)</f>
        <v>5.2013210769152884E-4</v>
      </c>
      <c r="AH36" s="10" cm="1">
        <f t="array" ref="AH36">bdRateExtend(AF$3:AF$6,AH$3:AH$6,AF7:AF10,AH7:AH10)</f>
        <v>-5.9850869360500436E-3</v>
      </c>
      <c r="AI36" s="10" cm="1">
        <f t="array" ref="AI36">bdRateExtend(AF$3:AF$6,AI$3:AI$6,AF7:AF10,AI7:AI10)</f>
        <v>-0.16443649591699994</v>
      </c>
      <c r="AJ36" s="10" cm="1">
        <f t="array" ref="AJ36">bdRateExtend(AF$3:AF$6,AJ$3:AJ$6,AF7:AF10,AJ7:AJ10)</f>
        <v>-0.32077547863439271</v>
      </c>
      <c r="AK36" s="10" cm="1">
        <f t="array" ref="AK36">bdRateExtend(AF$3:AF$6,AK$3:AK$6,AF7:AF10,AK7:AK10)</f>
        <v>0.13603888840555411</v>
      </c>
      <c r="AM36" s="10" cm="1">
        <f t="array" ref="AM36">bdRateExtend(AL$3:AL$6,AM$3:AM$6,AL7:AL10,AM7:AM10)</f>
        <v>-0.19011618020341647</v>
      </c>
      <c r="AN36" s="10" cm="1">
        <f t="array" ref="AN36">bdRateExtend(AL$3:AL$6,AN$3:AN$6,AL7:AL10,AN7:AN10)</f>
        <v>-0.18675705136507859</v>
      </c>
      <c r="AO36" s="10" cm="1">
        <f t="array" ref="AO36">bdRateExtend(AL$3:AL$6,AO$3:AO$6,AL7:AL10,AO7:AO10)</f>
        <v>-0.296830802545761</v>
      </c>
      <c r="AP36" s="10" cm="1">
        <f t="array" ref="AP36">bdRateExtend(AL$3:AL$6,AP$3:AP$6,AL7:AL10,AP7:AP10)</f>
        <v>-0.44252048591999482</v>
      </c>
      <c r="AQ36" s="10" cm="1">
        <f t="array" ref="AQ36">bdRateExtend(AL$3:AL$6,AQ$3:AQ$6,AL7:AL10,AQ7:AQ10)</f>
        <v>-0.13517390009680463</v>
      </c>
      <c r="AS36" s="10" cm="1">
        <f t="array" ref="AS36">bdRateExtend(AR$3:AR$6,AS$3:AS$6,AR7:AR10,AS7:AS10)</f>
        <v>-0.10079540880211546</v>
      </c>
      <c r="AT36" s="10" cm="1">
        <f t="array" ref="AT36">bdRateExtend(AR$3:AR$6,AT$3:AT$6,AR7:AR10,AT7:AT10)</f>
        <v>-0.1102811427243594</v>
      </c>
      <c r="AU36" s="10" cm="1">
        <f t="array" ref="AU36">bdRateExtend(AR$3:AR$6,AU$3:AU$6,AR7:AR10,AU7:AU10)</f>
        <v>-0.13810164738515829</v>
      </c>
      <c r="AV36" s="10" cm="1">
        <f t="array" ref="AV36">bdRateExtend(AR$3:AR$6,AV$3:AV$6,AR7:AR10,AV7:AV10)</f>
        <v>-0.29573806250287449</v>
      </c>
      <c r="AW36" s="10" cm="1">
        <f t="array" ref="AW36">bdRateExtend(AR$3:AR$6,AW$3:AW$6,AR7:AR10,AW7:AW10)</f>
        <v>-9.6851713950542595E-2</v>
      </c>
      <c r="AY36" s="10" cm="1">
        <f t="array" ref="AY36">bdRateExtend(AX$3:AX$6,AY$3:AY$6,AX7:AX10,AY7:AY10)</f>
        <v>0.12662305138033303</v>
      </c>
      <c r="AZ36" s="10" cm="1">
        <f t="array" ref="AZ36">bdRateExtend(AX$3:AX$6,AZ$3:AZ$6,AX7:AX10,AZ7:AZ10)</f>
        <v>0.12910193656455671</v>
      </c>
      <c r="BA36" s="10" cm="1">
        <f t="array" ref="BA36">bdRateExtend(AX$3:AX$6,BA$3:BA$6,AX7:AX10,BA7:BA10)</f>
        <v>-0.19511713118062812</v>
      </c>
      <c r="BB36" s="10" cm="1">
        <f t="array" ref="BB36">bdRateExtend(AX$3:AX$6,BB$3:BB$6,AX7:AX10,BB7:BB10)</f>
        <v>-0.38295443303753685</v>
      </c>
      <c r="BC36" s="10" cm="1">
        <f t="array" ref="BC36">bdRateExtend(AX$3:AX$6,BC$3:BC$6,AX7:AX10,BC7:BC10)</f>
        <v>-1.1842850746282663E-2</v>
      </c>
      <c r="BE36" s="10" cm="1">
        <f t="array" ref="BE36">bdRateExtend(BD$3:BD$6,BE$3:BE$6,BD7:BD10,BE7:BE10)</f>
        <v>6.4544409107267109E-2</v>
      </c>
      <c r="BF36" s="10" cm="1">
        <f t="array" ref="BF36">bdRateExtend(BD$3:BD$6,BF$3:BF$6,BD7:BD10,BF7:BF10)</f>
        <v>6.6938774409987634E-2</v>
      </c>
      <c r="BG36" s="10" cm="1">
        <f t="array" ref="BG36">bdRateExtend(BD$3:BD$6,BG$3:BG$6,BD7:BD10,BG7:BG10)</f>
        <v>-0.28153924395114838</v>
      </c>
      <c r="BH36" s="10" cm="1">
        <f t="array" ref="BH36">bdRateExtend(BD$3:BD$6,BH$3:BH$6,BD7:BD10,BH7:BH10)</f>
        <v>-0.37946311762311136</v>
      </c>
      <c r="BI36" s="10" cm="1">
        <f t="array" ref="BI36">bdRateExtend(BD$3:BD$6,BI$3:BI$6,BD7:BD10,BI7:BI10)</f>
        <v>-3.2202684695002537E-2</v>
      </c>
      <c r="BK36" s="10" cm="1">
        <f t="array" ref="BK36">bdRateExtend(BJ$3:BJ$6,BK$3:BK$6,BJ7:BJ10,BK7:BK10)</f>
        <v>1.1091548296384479E-2</v>
      </c>
      <c r="BL36" s="10" cm="1">
        <f t="array" ref="BL36">bdRateExtend(BJ$3:BJ$6,BL$3:BL$6,BJ7:BJ10,BL7:BL10)</f>
        <v>1.1005278346462477E-2</v>
      </c>
      <c r="BM36" s="10" cm="1">
        <f t="array" ref="BM36">bdRateExtend(BJ$3:BJ$6,BM$3:BM$6,BJ7:BJ10,BM7:BM10)</f>
        <v>-0.23991707689632547</v>
      </c>
      <c r="BN36" s="10" cm="1">
        <f t="array" ref="BN36">bdRateExtend(BJ$3:BJ$6,BN$3:BN$6,BJ7:BJ10,BN7:BN10)</f>
        <v>-0.43286819386895992</v>
      </c>
      <c r="BO36" s="10" cm="1">
        <f t="array" ref="BO36">bdRateExtend(BJ$3:BJ$6,BO$3:BO$6,BJ7:BJ10,BO7:BO10)</f>
        <v>7.9554423139834407E-2</v>
      </c>
      <c r="BQ36" s="10" cm="1">
        <f t="array" ref="BQ36">bdRateExtend(BP$3:BP$6,BQ$3:BQ$6,BP7:BP10,BQ7:BQ10)</f>
        <v>-0.12455261572756204</v>
      </c>
      <c r="BR36" s="10" cm="1">
        <f t="array" ref="BR36">bdRateExtend(BP$3:BP$6,BR$3:BR$6,BP7:BP10,BR7:BR10)</f>
        <v>-1.636445259211794E-2</v>
      </c>
      <c r="BS36" s="10" cm="1">
        <f t="array" ref="BS36">bdRateExtend(BP$3:BP$6,BS$3:BS$6,BP7:BP10,BS7:BS10)</f>
        <v>-2.3212129353910926E-2</v>
      </c>
      <c r="BT36" s="10" cm="1">
        <f t="array" ref="BT36">bdRateExtend(BP$3:BP$6,BT$3:BT$6,BP7:BP10,BT7:BT10)</f>
        <v>-0.29283753619097719</v>
      </c>
      <c r="BU36" s="10" cm="1">
        <f t="array" ref="BU36">bdRateExtend(BP$3:BP$6,BU$3:BU$6,BP7:BP10,BU7:BU10)</f>
        <v>6.3141430425398548E-2</v>
      </c>
      <c r="BW36" s="1"/>
      <c r="BX36" s="1"/>
      <c r="BY36" s="1"/>
      <c r="BZ36" s="1"/>
      <c r="CA36" s="1"/>
      <c r="CC36" s="1"/>
      <c r="CD36" s="1"/>
      <c r="CE36" s="1"/>
      <c r="CF36" s="1"/>
      <c r="CG36" s="1"/>
      <c r="CI36" s="1"/>
      <c r="CJ36" s="1"/>
      <c r="CK36" s="1"/>
      <c r="CL36" s="1"/>
      <c r="CM36" s="1"/>
    </row>
    <row r="37" spans="1:91" x14ac:dyDescent="0.35">
      <c r="A37" s="108"/>
      <c r="B37" t="s">
        <v>18</v>
      </c>
      <c r="C37" s="1" cm="1">
        <f t="array" ref="C37">bdPSNRExtend(B$3:B$6,C$3:C$6,B7:B10,C7:C10)</f>
        <v>0.53888356113748559</v>
      </c>
      <c r="D37" s="1" cm="1">
        <f t="array" ref="D37">bdPSNRExtend(B$3:B$6,D$3:D$6,B7:B10,D7:D10)</f>
        <v>0.62219486850441186</v>
      </c>
      <c r="E37" s="1" cm="1">
        <f t="array" ref="E37">bdPSNRExtend(B$3:B$6,E$3:E$6,B7:B10,E7:E10)</f>
        <v>0.68549202235075868</v>
      </c>
      <c r="F37" s="1" cm="1">
        <f t="array" ref="F37">bdPSNRExtend(B$3:B$6,F$3:F$6,B7:B10,F7:F10)</f>
        <v>0.94484422242357791</v>
      </c>
      <c r="G37" s="1" cm="1">
        <f t="array" ref="G37">bdPSNRExtend(B$3:B$6,G$3:G$6,B7:B10,G7:G10)</f>
        <v>5.4673159551397348E-4</v>
      </c>
      <c r="I37" s="1" cm="1">
        <f t="array" ref="I37">bdPSNRExtend(H$3:H$6,I$3:I$6,H7:H10,I7:I10)</f>
        <v>-0.39488567380381795</v>
      </c>
      <c r="J37" s="1" cm="1">
        <f t="array" ref="J37">bdPSNRExtend(H$3:H$6,J$3:J$6,H7:H10,J7:J10)</f>
        <v>-0.43079283511948063</v>
      </c>
      <c r="K37" s="1" cm="1">
        <f t="array" ref="K37">bdPSNRExtend(H$3:H$6,K$3:K$6,H7:H10,K7:K10)</f>
        <v>0.57192831623959806</v>
      </c>
      <c r="L37" s="1" cm="1">
        <f t="array" ref="L37">bdPSNRExtend(H$3:H$6,L$3:L$6,H7:H10,L7:L10)</f>
        <v>1.0149189791481019</v>
      </c>
      <c r="M37" s="1" cm="1">
        <f t="array" ref="M37">bdPSNRExtend(H$3:H$6,M$3:M$6,H7:H10,M7:M10)</f>
        <v>1.7577939416575314E-4</v>
      </c>
      <c r="O37" s="1" cm="1">
        <f t="array" ref="O37">bdPSNRExtend(N$3:N$6,O$3:O$6,N7:N10,O7:O10)</f>
        <v>-0.13567017702185258</v>
      </c>
      <c r="P37" s="1" cm="1">
        <f t="array" ref="P37">bdPSNRExtend(N$3:N$6,P$3:P$6,N7:N10,P7:P10)</f>
        <v>-0.16574850458107174</v>
      </c>
      <c r="Q37" s="1" cm="1">
        <f t="array" ref="Q37">bdPSNRExtend(N$3:N$6,Q$3:Q$6,N7:N10,Q7:Q10)</f>
        <v>0.53774685616940621</v>
      </c>
      <c r="R37" s="1" cm="1">
        <f t="array" ref="R37">bdPSNRExtend(N$3:N$6,R$3:R$6,N7:N10,R7:R10)</f>
        <v>0.90515810689997656</v>
      </c>
      <c r="S37" s="1" cm="1">
        <f t="array" ref="S37">bdPSNRExtend(N$3:N$6,S$3:S$6,N7:N10,S7:S10)</f>
        <v>-2.0256220916426386E-4</v>
      </c>
      <c r="U37" s="1" cm="1">
        <f t="array" ref="U37">bdPSNRExtend(T$3:T$6,U$3:U$6,T7:T10,U7:U10)</f>
        <v>-0.42228067893479426</v>
      </c>
      <c r="V37" s="1" cm="1">
        <f t="array" ref="V37">bdPSNRExtend(T$3:T$6,V$3:V$6,T7:T10,V7:V10)</f>
        <v>-0.5400976883798716</v>
      </c>
      <c r="W37" s="1" cm="1">
        <f t="array" ref="W37">bdPSNRExtend(T$3:T$6,W$3:W$6,T7:T10,W7:W10)</f>
        <v>0.40738617269406657</v>
      </c>
      <c r="X37" s="1" cm="1">
        <f t="array" ref="X37">bdPSNRExtend(T$3:T$6,X$3:X$6,T7:T10,X7:X10)</f>
        <v>1.2883544735898707</v>
      </c>
      <c r="Y37" s="1" cm="1">
        <f t="array" ref="Y37">bdPSNRExtend(T$3:T$6,Y$3:Y$6,T7:T10,Y7:Y10)</f>
        <v>-8.3719542219089387E-5</v>
      </c>
      <c r="AA37" s="1" cm="1">
        <f t="array" ref="AA37">bdPSNRExtend(Z$3:Z$6,AA$3:AA$6,Z7:Z10,AA7:AA10)</f>
        <v>0.1280867318210796</v>
      </c>
      <c r="AB37" s="1" cm="1">
        <f t="array" ref="AB37">bdPSNRExtend(Z$3:Z$6,AB$3:AB$6,Z7:Z10,AB7:AB10)</f>
        <v>0.26378983609422391</v>
      </c>
      <c r="AC37" s="1" cm="1">
        <f t="array" ref="AC37">bdPSNRExtend(Z$3:Z$6,AC$3:AC$6,Z7:Z10,AC7:AC10)</f>
        <v>1.771293552708474E-2</v>
      </c>
      <c r="AD37" s="1" cm="1">
        <f t="array" ref="AD37">bdPSNRExtend(Z$3:Z$6,AD$3:AD$6,Z7:Z10,AD7:AD10)</f>
        <v>0.64770376765699689</v>
      </c>
      <c r="AE37" s="1" cm="1">
        <f t="array" ref="AE37">bdPSNRExtend(Z$3:Z$6,AE$3:AE$6,Z7:Z10,AE7:AE10)</f>
        <v>-1.3955461641616831E-4</v>
      </c>
      <c r="AG37" s="1" cm="1">
        <f t="array" ref="AG37">bdPSNRExtend(AF$3:AF$6,AG$3:AG$6,AF7:AF10,AG7:AG10)</f>
        <v>3.1341953735326694E-3</v>
      </c>
      <c r="AH37" s="1" cm="1">
        <f t="array" ref="AH37">bdPSNRExtend(AF$3:AF$6,AH$3:AH$6,AF7:AF10,AH7:AH10)</f>
        <v>2.0608048835286632E-2</v>
      </c>
      <c r="AI37" s="1" cm="1">
        <f t="array" ref="AI37">bdPSNRExtend(AF$3:AF$6,AI$3:AI$6,AF7:AF10,AI7:AI10)</f>
        <v>0.33920504234065313</v>
      </c>
      <c r="AJ37" s="1" cm="1">
        <f t="array" ref="AJ37">bdPSNRExtend(AF$3:AF$6,AJ$3:AJ$6,AF7:AF10,AJ7:AJ10)</f>
        <v>0.60836264320726519</v>
      </c>
      <c r="AK37" s="1" cm="1">
        <f t="array" ref="AK37">bdPSNRExtend(AF$3:AF$6,AK$3:AK$6,AF7:AF10,AK7:AK10)</f>
        <v>-2.8741608411355122E-4</v>
      </c>
      <c r="AM37" s="1" cm="1">
        <f t="array" ref="AM37">bdPSNRExtend(AL$3:AL$6,AM$3:AM$6,AL7:AL10,AM7:AM10)</f>
        <v>0.84280232730196902</v>
      </c>
      <c r="AN37" s="1" cm="1">
        <f t="array" ref="AN37">bdPSNRExtend(AL$3:AL$6,AN$3:AN$6,AL7:AL10,AN7:AN10)</f>
        <v>1.1076674965613318</v>
      </c>
      <c r="AO37" s="1" cm="1">
        <f t="array" ref="AO37">bdPSNRExtend(AL$3:AL$6,AO$3:AO$6,AL7:AL10,AO7:AO10)</f>
        <v>0.47216704931981934</v>
      </c>
      <c r="AP37" s="1" cm="1">
        <f t="array" ref="AP37">bdPSNRExtend(AL$3:AL$6,AP$3:AP$6,AL7:AL10,AP7:AP10)</f>
        <v>0.83592778149641633</v>
      </c>
      <c r="AQ37" s="1" cm="1">
        <f t="array" ref="AQ37">bdPSNRExtend(AL$3:AL$6,AQ$3:AQ$6,AL7:AL10,AQ7:AQ10)</f>
        <v>3.5996175793931884E-4</v>
      </c>
      <c r="AS37" s="1" cm="1">
        <f t="array" ref="AS37">bdPSNRExtend(AR$3:AR$6,AS$3:AS$6,AR7:AR10,AS7:AS10)</f>
        <v>0.36649992441452595</v>
      </c>
      <c r="AT37" s="1" cm="1">
        <f t="array" ref="AT37">bdPSNRExtend(AR$3:AR$6,AT$3:AT$6,AR7:AR10,AT7:AT10)</f>
        <v>0.42792734412079608</v>
      </c>
      <c r="AU37" s="1" cm="1">
        <f t="array" ref="AU37">bdPSNRExtend(AR$3:AR$6,AU$3:AU$6,AR7:AR10,AU7:AU10)</f>
        <v>0.25702867591317902</v>
      </c>
      <c r="AV37" s="1" cm="1">
        <f t="array" ref="AV37">bdPSNRExtend(AR$3:AR$6,AV$3:AV$6,AR7:AR10,AV7:AV10)</f>
        <v>0.65678289301279591</v>
      </c>
      <c r="AW37" s="1" cm="1">
        <f t="array" ref="AW37">bdPSNRExtend(AR$3:AR$6,AW$3:AW$6,AR7:AR10,AW7:AW10)</f>
        <v>1.5277467653059215E-4</v>
      </c>
      <c r="AY37" s="1" cm="1">
        <f t="array" ref="AY37">bdPSNRExtend(AX$3:AX$6,AY$3:AY$6,AX7:AX10,AY7:AY10)</f>
        <v>-0.32988415514523678</v>
      </c>
      <c r="AZ37" s="1" cm="1">
        <f t="array" ref="AZ37">bdPSNRExtend(AX$3:AX$6,AZ$3:AZ$6,AX7:AX10,AZ7:AZ10)</f>
        <v>-0.45677058225483125</v>
      </c>
      <c r="BA37" s="1" cm="1">
        <f t="array" ref="BA37">bdPSNRExtend(AX$3:AX$6,BA$3:BA$6,AX7:AX10,BA7:BA10)</f>
        <v>0.30815828223133174</v>
      </c>
      <c r="BB37" s="1" cm="1">
        <f t="array" ref="BB37">bdPSNRExtend(AX$3:AX$6,BB$3:BB$6,AX7:AX10,BB7:BB10)</f>
        <v>0.66223276326320979</v>
      </c>
      <c r="BC37" s="1" cm="1">
        <f t="array" ref="BC37">bdPSNRExtend(AX$3:AX$6,BC$3:BC$6,AX7:AX10,BC7:BC10)</f>
        <v>1.9422419014128429E-5</v>
      </c>
      <c r="BE37" s="1" cm="1">
        <f t="array" ref="BE37">bdPSNRExtend(BD$3:BD$6,BE$3:BE$6,BD7:BD10,BE7:BE10)</f>
        <v>-0.30175635503160803</v>
      </c>
      <c r="BF37" s="1" cm="1">
        <f t="array" ref="BF37">bdPSNRExtend(BD$3:BD$6,BF$3:BF$6,BD7:BD10,BF7:BF10)</f>
        <v>-0.32730983803243752</v>
      </c>
      <c r="BG37" s="1" cm="1">
        <f t="array" ref="BG37">bdPSNRExtend(BD$3:BD$6,BG$3:BG$6,BD7:BD10,BG7:BG10)</f>
        <v>0.33342691553988724</v>
      </c>
      <c r="BH37" s="1" cm="1">
        <f t="array" ref="BH37">bdPSNRExtend(BD$3:BD$6,BH$3:BH$6,BD7:BD10,BH7:BH10)</f>
        <v>0.43812002924924903</v>
      </c>
      <c r="BI37" s="1" cm="1">
        <f t="array" ref="BI37">bdPSNRExtend(BD$3:BD$6,BI$3:BI$6,BD7:BD10,BI7:BI10)</f>
        <v>1.0174057378558515E-4</v>
      </c>
      <c r="BK37" s="1" cm="1">
        <f t="array" ref="BK37">bdPSNRExtend(BJ$3:BJ$6,BK$3:BK$6,BJ7:BJ10,BK7:BK10)</f>
        <v>-0.14176966670076407</v>
      </c>
      <c r="BL37" s="1" cm="1">
        <f t="array" ref="BL37">bdPSNRExtend(BJ$3:BJ$6,BL$3:BL$6,BJ7:BJ10,BL7:BL10)</f>
        <v>-0.18106574867299394</v>
      </c>
      <c r="BM37" s="1" cm="1">
        <f t="array" ref="BM37">bdPSNRExtend(BJ$3:BJ$6,BM$3:BM$6,BJ7:BJ10,BM7:BM10)</f>
        <v>0.30325389509820916</v>
      </c>
      <c r="BN37" s="1" cm="1">
        <f t="array" ref="BN37">bdPSNRExtend(BJ$3:BJ$6,BN$3:BN$6,BJ7:BJ10,BN7:BN10)</f>
        <v>0.66036921557724648</v>
      </c>
      <c r="BO37" s="1" cm="1">
        <f t="array" ref="BO37">bdPSNRExtend(BJ$3:BJ$6,BO$3:BO$6,BJ7:BJ10,BO7:BO10)</f>
        <v>-2.2629797833060357E-4</v>
      </c>
      <c r="BQ37" s="1" cm="1">
        <f t="array" ref="BQ37">bdPSNRExtend(BP$3:BP$6,BQ$3:BQ$6,BP7:BP10,BQ7:BQ10)</f>
        <v>0.37642639955298912</v>
      </c>
      <c r="BR37" s="1" cm="1">
        <f t="array" ref="BR37">bdPSNRExtend(BP$3:BP$6,BR$3:BR$6,BP7:BP10,BR7:BR10)</f>
        <v>0.21877999047093968</v>
      </c>
      <c r="BS37" s="1" cm="1">
        <f t="array" ref="BS37">bdPSNRExtend(BP$3:BP$6,BS$3:BS$6,BP7:BP10,BS7:BS10)</f>
        <v>7.2496115006853504E-2</v>
      </c>
      <c r="BT37" s="1" cm="1">
        <f t="array" ref="BT37">bdPSNRExtend(BP$3:BP$6,BT$3:BT$6,BP7:BP10,BT7:BT10)</f>
        <v>0.57410224908018448</v>
      </c>
      <c r="BU37" s="1" cm="1">
        <f t="array" ref="BU37">bdPSNRExtend(BP$3:BP$6,BU$3:BU$6,BP7:BP10,BU7:BU10)</f>
        <v>-6.8917404203898492E-5</v>
      </c>
      <c r="BW37" s="1"/>
      <c r="BX37" s="1"/>
      <c r="BY37" s="1"/>
      <c r="BZ37" s="1"/>
      <c r="CA37" s="1"/>
      <c r="CC37" s="1"/>
      <c r="CD37" s="1"/>
      <c r="CE37" s="1"/>
      <c r="CF37" s="1"/>
      <c r="CG37" s="1"/>
      <c r="CI37" s="1"/>
      <c r="CJ37" s="1"/>
      <c r="CK37" s="1"/>
      <c r="CL37" s="1"/>
      <c r="CM37" s="1"/>
    </row>
    <row r="39" spans="1:91" ht="26" x14ac:dyDescent="0.6">
      <c r="Y39" s="27" t="s">
        <v>138</v>
      </c>
    </row>
    <row r="41" spans="1:91" x14ac:dyDescent="0.35">
      <c r="Y41" t="s">
        <v>165</v>
      </c>
    </row>
    <row r="43" spans="1:91" x14ac:dyDescent="0.35">
      <c r="A43" t="s">
        <v>139</v>
      </c>
      <c r="B43" s="105" t="s">
        <v>133</v>
      </c>
      <c r="C43" s="106"/>
      <c r="D43" s="106"/>
      <c r="E43" s="106"/>
      <c r="F43" s="106"/>
      <c r="G43" s="107"/>
      <c r="I43" t="s">
        <v>159</v>
      </c>
      <c r="K43" s="45" t="s">
        <v>163</v>
      </c>
    </row>
    <row r="44" spans="1:91" x14ac:dyDescent="0.35">
      <c r="B44" t="str" cm="1">
        <f t="array" aca="1" ref="B44:G64" ca="1">INDIRECT(B43)</f>
        <v>bpp</v>
      </c>
      <c r="C44" t="str">
        <f ca="1"/>
        <v>PSNR D1</v>
      </c>
      <c r="D44" t="str">
        <f ca="1"/>
        <v>PSNR D2</v>
      </c>
      <c r="E44" t="str">
        <f ca="1"/>
        <v>PSNR Y</v>
      </c>
      <c r="F44" t="str">
        <f ca="1"/>
        <v>PSNR YUV</v>
      </c>
      <c r="G44" t="str">
        <f ca="1"/>
        <v>1-PCQM</v>
      </c>
      <c r="I44" s="30" t="str" cm="1">
        <f t="array" aca="1" ref="I44:I64" ca="1">INDIRECT(K43)</f>
        <v>PSNR Y</v>
      </c>
    </row>
    <row r="45" spans="1:91" x14ac:dyDescent="0.35">
      <c r="A45" s="99" t="str">
        <f>A3</f>
        <v>JPEG PCC VM v4.1</v>
      </c>
      <c r="B45" s="8">
        <f ca="1"/>
        <v>4.8615899999999997E-2</v>
      </c>
      <c r="C45" s="2">
        <f ca="1"/>
        <v>58.730899999999998</v>
      </c>
      <c r="D45" s="2">
        <f ca="1"/>
        <v>60.784599999999998</v>
      </c>
      <c r="E45" s="2">
        <f ca="1"/>
        <v>20.539899999999999</v>
      </c>
      <c r="F45" s="2">
        <f ca="1"/>
        <v>23.901249999999997</v>
      </c>
      <c r="G45" s="3">
        <f ca="1"/>
        <v>0.96425689999999997</v>
      </c>
      <c r="I45" s="30">
        <f ca="1"/>
        <v>20.539899999999999</v>
      </c>
      <c r="Z45" s="93" t="str">
        <f>A26</f>
        <v>JPEG PCC VM v4.1</v>
      </c>
      <c r="AA45" s="94"/>
      <c r="AB45" s="94"/>
      <c r="AC45" s="94"/>
      <c r="AD45" s="94"/>
      <c r="AE45" s="94"/>
      <c r="AF45" s="94"/>
      <c r="AG45" s="94"/>
      <c r="AH45" s="94"/>
      <c r="AI45" s="95"/>
      <c r="AK45" s="93" t="str">
        <f>A28</f>
        <v>JPEG PCC VM v4.1 (VVC)</v>
      </c>
      <c r="AL45" s="94"/>
      <c r="AM45" s="94"/>
      <c r="AN45" s="94"/>
      <c r="AO45" s="94"/>
      <c r="AP45" s="94"/>
      <c r="AQ45" s="94"/>
      <c r="AR45" s="94"/>
      <c r="AS45" s="94"/>
      <c r="AT45" s="95"/>
    </row>
    <row r="46" spans="1:91" x14ac:dyDescent="0.35">
      <c r="A46" s="100"/>
      <c r="B46" s="7">
        <f ca="1"/>
        <v>0.36790899999999999</v>
      </c>
      <c r="C46">
        <f ca="1"/>
        <v>68.869799999999998</v>
      </c>
      <c r="D46">
        <f ca="1"/>
        <v>72.054100000000005</v>
      </c>
      <c r="E46">
        <f ca="1"/>
        <v>24.646000000000001</v>
      </c>
      <c r="F46">
        <f ca="1"/>
        <v>27.661537500000001</v>
      </c>
      <c r="G46" s="4">
        <f ca="1"/>
        <v>0.98788819999999999</v>
      </c>
      <c r="I46" s="25">
        <f ca="1"/>
        <v>24.646000000000001</v>
      </c>
      <c r="Z46" s="102" t="s">
        <v>148</v>
      </c>
      <c r="AA46" s="103"/>
      <c r="AB46" s="90" t="s">
        <v>149</v>
      </c>
      <c r="AC46" s="92"/>
      <c r="AD46" s="103" t="s">
        <v>150</v>
      </c>
      <c r="AE46" s="103"/>
      <c r="AF46" s="90" t="s">
        <v>151</v>
      </c>
      <c r="AG46" s="92"/>
      <c r="AH46" s="103" t="s">
        <v>144</v>
      </c>
      <c r="AI46" s="104"/>
      <c r="AK46" s="102" t="s">
        <v>148</v>
      </c>
      <c r="AL46" s="103"/>
      <c r="AM46" s="90" t="s">
        <v>149</v>
      </c>
      <c r="AN46" s="92"/>
      <c r="AO46" s="103" t="s">
        <v>150</v>
      </c>
      <c r="AP46" s="103"/>
      <c r="AQ46" s="90" t="s">
        <v>151</v>
      </c>
      <c r="AR46" s="92"/>
      <c r="AS46" s="103" t="s">
        <v>144</v>
      </c>
      <c r="AT46" s="104"/>
    </row>
    <row r="47" spans="1:91" x14ac:dyDescent="0.35">
      <c r="A47" s="100"/>
      <c r="B47" s="7">
        <f ca="1"/>
        <v>1.1830400000000001</v>
      </c>
      <c r="C47">
        <f ca="1"/>
        <v>73.610500000000002</v>
      </c>
      <c r="D47">
        <f ca="1"/>
        <v>77.735299999999995</v>
      </c>
      <c r="E47">
        <f ca="1"/>
        <v>28.640899999999998</v>
      </c>
      <c r="F47">
        <f ca="1"/>
        <v>31.182549999999996</v>
      </c>
      <c r="G47" s="4">
        <f ca="1"/>
        <v>0.99504802999999997</v>
      </c>
      <c r="I47" s="25">
        <f ca="1"/>
        <v>28.640899999999998</v>
      </c>
      <c r="X47" s="59" t="s">
        <v>168</v>
      </c>
      <c r="Y47" s="28" t="s">
        <v>140</v>
      </c>
      <c r="Z47" s="29" t="s">
        <v>17</v>
      </c>
      <c r="AA47" s="21" t="s">
        <v>18</v>
      </c>
      <c r="AB47" s="29" t="s">
        <v>17</v>
      </c>
      <c r="AC47" s="22" t="s">
        <v>18</v>
      </c>
      <c r="AD47" s="21" t="s">
        <v>17</v>
      </c>
      <c r="AE47" s="21" t="s">
        <v>18</v>
      </c>
      <c r="AF47" s="29" t="s">
        <v>17</v>
      </c>
      <c r="AG47" s="22" t="s">
        <v>18</v>
      </c>
      <c r="AH47" s="21" t="s">
        <v>17</v>
      </c>
      <c r="AI47" s="22" t="s">
        <v>18</v>
      </c>
      <c r="AK47" s="29" t="s">
        <v>17</v>
      </c>
      <c r="AL47" s="21" t="s">
        <v>18</v>
      </c>
      <c r="AM47" s="29" t="s">
        <v>17</v>
      </c>
      <c r="AN47" s="22" t="s">
        <v>18</v>
      </c>
      <c r="AO47" s="21" t="s">
        <v>17</v>
      </c>
      <c r="AP47" s="21" t="s">
        <v>18</v>
      </c>
      <c r="AQ47" s="29" t="s">
        <v>17</v>
      </c>
      <c r="AR47" s="22" t="s">
        <v>18</v>
      </c>
      <c r="AS47" s="21" t="s">
        <v>17</v>
      </c>
      <c r="AT47" s="22" t="s">
        <v>18</v>
      </c>
    </row>
    <row r="48" spans="1:91" x14ac:dyDescent="0.35">
      <c r="A48" s="101"/>
      <c r="B48" s="9">
        <f ca="1"/>
        <v>3.2754699999999999</v>
      </c>
      <c r="C48" s="5">
        <f ca="1"/>
        <v>76.100499999999997</v>
      </c>
      <c r="D48" s="5">
        <f ca="1"/>
        <v>80.425399999999996</v>
      </c>
      <c r="E48" s="5">
        <f ca="1"/>
        <v>30.98</v>
      </c>
      <c r="F48" s="5">
        <f ca="1"/>
        <v>33.765949999999997</v>
      </c>
      <c r="G48" s="6">
        <f ca="1"/>
        <v>0.99743318999999997</v>
      </c>
      <c r="I48" s="41">
        <f ca="1"/>
        <v>30.98</v>
      </c>
      <c r="X48" s="99" t="s">
        <v>169</v>
      </c>
      <c r="Y48" s="30" t="s">
        <v>133</v>
      </c>
      <c r="Z48" s="31">
        <f>C26</f>
        <v>-0.67175211859115902</v>
      </c>
      <c r="AA48" s="34">
        <f>C27</f>
        <v>4.6451471861466196</v>
      </c>
      <c r="AB48" s="31">
        <f>D26</f>
        <v>-0.41181858512849912</v>
      </c>
      <c r="AC48" s="32">
        <f>D27</f>
        <v>2.9909394030749792</v>
      </c>
      <c r="AD48" s="81">
        <f>E26</f>
        <v>3.250206418277668E-2</v>
      </c>
      <c r="AE48" s="70">
        <f>E27</f>
        <v>-0.3214824450379884</v>
      </c>
      <c r="AF48" s="67">
        <f>F26</f>
        <v>0.12448095864823938</v>
      </c>
      <c r="AG48" s="75">
        <f>F27</f>
        <v>-0.51702557305633379</v>
      </c>
      <c r="AH48" s="67">
        <f>G26</f>
        <v>-0.11700787990623363</v>
      </c>
      <c r="AI48" s="84">
        <f>G27</f>
        <v>9.7990969425260695E-4</v>
      </c>
      <c r="AK48" s="31">
        <f>C28</f>
        <v>-0.70040978471120341</v>
      </c>
      <c r="AL48" s="34">
        <f>C29</f>
        <v>5.1661076470285954</v>
      </c>
      <c r="AM48" s="31">
        <f>D28</f>
        <v>-0.46917630254379472</v>
      </c>
      <c r="AN48" s="32">
        <f>D29</f>
        <v>3.5637837977169471</v>
      </c>
      <c r="AO48" s="33">
        <f>E28</f>
        <v>-0.16440517707870916</v>
      </c>
      <c r="AP48" s="34">
        <f>E29</f>
        <v>0.44447539427124733</v>
      </c>
      <c r="AQ48" s="31">
        <f>F28</f>
        <v>-0.1810465608687658</v>
      </c>
      <c r="AR48" s="32">
        <f>F29</f>
        <v>0.50119316144303538</v>
      </c>
      <c r="AS48" s="31">
        <f>G28</f>
        <v>-0.16650862244957532</v>
      </c>
      <c r="AT48" s="47">
        <f>G29</f>
        <v>1.503363238067452E-3</v>
      </c>
    </row>
    <row r="49" spans="1:46" x14ac:dyDescent="0.35">
      <c r="A49" s="99" t="str">
        <f>A7</f>
        <v>JPEG PCC VM v4.1 (VVC)</v>
      </c>
      <c r="B49" s="8">
        <f ca="1"/>
        <v>4.9616300000000002E-2</v>
      </c>
      <c r="C49" s="2">
        <f ca="1"/>
        <v>58.730899999999998</v>
      </c>
      <c r="D49" s="2">
        <f ca="1"/>
        <v>60.784599999999998</v>
      </c>
      <c r="E49" s="2">
        <f ca="1"/>
        <v>20.821000000000002</v>
      </c>
      <c r="F49" s="2">
        <f ca="1"/>
        <v>24.335850000000004</v>
      </c>
      <c r="G49" s="3">
        <f ca="1"/>
        <v>0.96454260000000003</v>
      </c>
      <c r="I49" s="25">
        <f ca="1"/>
        <v>20.821000000000002</v>
      </c>
      <c r="X49" s="100"/>
      <c r="Y49" s="25" t="s">
        <v>134</v>
      </c>
      <c r="Z49" s="35">
        <f>I26</f>
        <v>-0.87925396924640664</v>
      </c>
      <c r="AA49" s="37">
        <f>I27</f>
        <v>6.4634119495988047</v>
      </c>
      <c r="AB49" s="35">
        <f>J26</f>
        <v>-0.81990012906175758</v>
      </c>
      <c r="AC49" s="36">
        <f>J27</f>
        <v>5.532652290552817</v>
      </c>
      <c r="AD49" s="82">
        <f>K26</f>
        <v>0.15889537759688865</v>
      </c>
      <c r="AE49" s="71">
        <f>K27</f>
        <v>-0.60866261815637646</v>
      </c>
      <c r="AF49" s="68">
        <f>L26</f>
        <v>0.45327934903031553</v>
      </c>
      <c r="AG49" s="76">
        <f>L27</f>
        <v>-1.1168250896393948</v>
      </c>
      <c r="AH49" s="68">
        <f>M26</f>
        <v>-6.6197589290264647E-2</v>
      </c>
      <c r="AI49" s="85">
        <f>M27</f>
        <v>1.6180283550855032E-6</v>
      </c>
      <c r="AK49" s="35">
        <f>I28</f>
        <v>-0.87300622246025072</v>
      </c>
      <c r="AL49" s="37">
        <f>I29</f>
        <v>6.1285030445172959</v>
      </c>
      <c r="AM49" s="35">
        <f>J28</f>
        <v>-0.8086513893640056</v>
      </c>
      <c r="AN49" s="36">
        <f>J29</f>
        <v>5.1328547173103738</v>
      </c>
      <c r="AO49" s="40">
        <f>K28</f>
        <v>-6.0928674652963255E-2</v>
      </c>
      <c r="AP49" s="37">
        <f>K29</f>
        <v>4.1071613614865853E-2</v>
      </c>
      <c r="AQ49" s="35">
        <f>L28</f>
        <v>-2.4225606172742276E-2</v>
      </c>
      <c r="AR49" s="36">
        <f>L29</f>
        <v>-3.4205560420286149E-2</v>
      </c>
      <c r="AS49" s="35">
        <f>M28</f>
        <v>-0.10903377744832121</v>
      </c>
      <c r="AT49" s="48">
        <f>M29</f>
        <v>1.6863422238011698E-4</v>
      </c>
    </row>
    <row r="50" spans="1:46" x14ac:dyDescent="0.35">
      <c r="A50" s="100"/>
      <c r="B50" s="7">
        <f ca="1"/>
        <v>0.31177700000000003</v>
      </c>
      <c r="C50">
        <f ca="1"/>
        <v>68.869699999999995</v>
      </c>
      <c r="D50">
        <f ca="1"/>
        <v>72.054000000000002</v>
      </c>
      <c r="E50">
        <f ca="1"/>
        <v>24.7498</v>
      </c>
      <c r="F50">
        <f ca="1"/>
        <v>28.080925000000001</v>
      </c>
      <c r="G50" s="4">
        <f ca="1"/>
        <v>0.98736270000000004</v>
      </c>
      <c r="I50" s="25">
        <f ca="1"/>
        <v>24.7498</v>
      </c>
      <c r="X50" s="100"/>
      <c r="Y50" s="25" t="s">
        <v>19</v>
      </c>
      <c r="Z50" s="35">
        <f>O26</f>
        <v>-0.76299354532915054</v>
      </c>
      <c r="AA50" s="37">
        <f>O27</f>
        <v>6.7323034561195536</v>
      </c>
      <c r="AB50" s="35">
        <f>P26</f>
        <v>-0.62080268155675244</v>
      </c>
      <c r="AC50" s="36">
        <f>P27</f>
        <v>5.3409787787207401</v>
      </c>
      <c r="AD50" s="82">
        <f>Q26</f>
        <v>-0.36137896283465687</v>
      </c>
      <c r="AE50" s="71">
        <f>Q27</f>
        <v>2.062543042530836</v>
      </c>
      <c r="AF50" s="68">
        <f>R26</f>
        <v>-0.29551251006149737</v>
      </c>
      <c r="AG50" s="76">
        <f>R27</f>
        <v>1.5052655003501323</v>
      </c>
      <c r="AH50" s="68">
        <f>S26</f>
        <v>-0.45996348645121454</v>
      </c>
      <c r="AI50" s="85">
        <f>S27</f>
        <v>3.4223653508232599E-3</v>
      </c>
      <c r="AK50" s="35">
        <f>O28</f>
        <v>-0.76876422378090448</v>
      </c>
      <c r="AL50" s="37">
        <f>O29</f>
        <v>6.6336313532700277</v>
      </c>
      <c r="AM50" s="35">
        <f>P28</f>
        <v>-0.62052655622109287</v>
      </c>
      <c r="AN50" s="36">
        <f>P29</f>
        <v>5.0545366476393916</v>
      </c>
      <c r="AO50" s="40">
        <f>Q28</f>
        <v>-0.4389772982512119</v>
      </c>
      <c r="AP50" s="37">
        <f>Q29</f>
        <v>2.6355413975918611</v>
      </c>
      <c r="AQ50" s="35">
        <f>R28</f>
        <v>-0.44310128626463052</v>
      </c>
      <c r="AR50" s="36">
        <f>R29</f>
        <v>2.4666533867093832</v>
      </c>
      <c r="AS50" s="35">
        <f>S28</f>
        <v>-0.43959092071828809</v>
      </c>
      <c r="AT50" s="48">
        <f>S29</f>
        <v>3.8669273062483622E-3</v>
      </c>
    </row>
    <row r="51" spans="1:46" x14ac:dyDescent="0.35">
      <c r="A51" s="100"/>
      <c r="B51" s="7">
        <f ca="1"/>
        <v>0.94779000000000002</v>
      </c>
      <c r="C51">
        <f ca="1"/>
        <v>73.610500000000002</v>
      </c>
      <c r="D51">
        <f ca="1"/>
        <v>77.735299999999995</v>
      </c>
      <c r="E51">
        <f ca="1"/>
        <v>28.931899999999999</v>
      </c>
      <c r="F51">
        <f ca="1"/>
        <v>31.839275000000001</v>
      </c>
      <c r="G51" s="4">
        <f ca="1"/>
        <v>0.99458270000000004</v>
      </c>
      <c r="I51" s="25">
        <f ca="1"/>
        <v>28.931899999999999</v>
      </c>
      <c r="X51" s="101"/>
      <c r="Y51" s="41" t="s">
        <v>21</v>
      </c>
      <c r="Z51" s="38">
        <f>U26</f>
        <v>-0.9389757550691874</v>
      </c>
      <c r="AA51" s="42">
        <f>U27</f>
        <v>9.4137237576269897</v>
      </c>
      <c r="AB51" s="38">
        <f>V26</f>
        <v>-0.86960619729998623</v>
      </c>
      <c r="AC51" s="39">
        <f>V27</f>
        <v>8.2633049553688664</v>
      </c>
      <c r="AD51" s="83">
        <f>W26</f>
        <v>-0.49287969084723227</v>
      </c>
      <c r="AE51" s="74">
        <f>W27</f>
        <v>2.8752524650060702</v>
      </c>
      <c r="AF51" s="69">
        <f>X26</f>
        <v>-0.36412562638842949</v>
      </c>
      <c r="AG51" s="79">
        <f>X27</f>
        <v>1.9026281170867438</v>
      </c>
      <c r="AH51" s="69">
        <f>Y26</f>
        <v>-0.41767071934361988</v>
      </c>
      <c r="AI51" s="86">
        <f>Y27</f>
        <v>1.2535561059739391E-3</v>
      </c>
      <c r="AK51" s="35">
        <f>U28</f>
        <v>-0.91926234386653449</v>
      </c>
      <c r="AL51" s="1">
        <f>U29</f>
        <v>9.1116359442222503</v>
      </c>
      <c r="AM51" s="35">
        <f>V28</f>
        <v>-0.83374378926366588</v>
      </c>
      <c r="AN51" s="43">
        <f>V29</f>
        <v>7.8588444150613697</v>
      </c>
      <c r="AO51" s="40">
        <f>W28</f>
        <v>-0.56119406914165015</v>
      </c>
      <c r="AP51" s="1">
        <f>W29</f>
        <v>3.3943866101970115</v>
      </c>
      <c r="AQ51" s="35">
        <f>X28</f>
        <v>-0.55602436432890978</v>
      </c>
      <c r="AR51" s="43">
        <f>X29</f>
        <v>3.2349444603184843</v>
      </c>
      <c r="AS51" s="35">
        <f>Y28</f>
        <v>-0.38963518843528588</v>
      </c>
      <c r="AT51" s="49">
        <f>Y29</f>
        <v>1.0312972138227759E-3</v>
      </c>
    </row>
    <row r="52" spans="1:46" x14ac:dyDescent="0.35">
      <c r="A52" s="101"/>
      <c r="B52" s="9">
        <f ca="1"/>
        <v>2.9091999999999998</v>
      </c>
      <c r="C52" s="5">
        <f ca="1"/>
        <v>76.100499999999997</v>
      </c>
      <c r="D52" s="5">
        <f ca="1"/>
        <v>80.425399999999996</v>
      </c>
      <c r="E52" s="5">
        <f ca="1"/>
        <v>32.008499999999998</v>
      </c>
      <c r="F52" s="5">
        <f ca="1"/>
        <v>34.964337499999999</v>
      </c>
      <c r="G52" s="6">
        <f ca="1"/>
        <v>0.99747702000000005</v>
      </c>
      <c r="I52" s="25">
        <f ca="1"/>
        <v>32.008499999999998</v>
      </c>
      <c r="X52" s="99" t="s">
        <v>170</v>
      </c>
      <c r="Y52" s="30" t="s">
        <v>20</v>
      </c>
      <c r="Z52" s="31">
        <f>AA26</f>
        <v>-0.72163349342237526</v>
      </c>
      <c r="AA52" s="60">
        <f>AA27</f>
        <v>4.0046022148304061</v>
      </c>
      <c r="AB52" s="31">
        <f>AB26</f>
        <v>-0.83569567160889768</v>
      </c>
      <c r="AC52" s="61">
        <f>AB27</f>
        <v>6.6823056581799953</v>
      </c>
      <c r="AD52" s="81">
        <f>AC26</f>
        <v>-0.52982791857349931</v>
      </c>
      <c r="AE52" s="73">
        <f>AC27</f>
        <v>2.2141110874246928</v>
      </c>
      <c r="AF52" s="67">
        <f>AD26</f>
        <v>-0.37907358685525572</v>
      </c>
      <c r="AG52" s="78">
        <f>AD27</f>
        <v>1.3261586947904194</v>
      </c>
      <c r="AH52" s="67">
        <f>AE26</f>
        <v>-0.58146520460707585</v>
      </c>
      <c r="AI52" s="87">
        <f>AE27</f>
        <v>2.0394250504317214E-3</v>
      </c>
      <c r="AK52" s="31">
        <f>AA28</f>
        <v>-0.74608696018900411</v>
      </c>
      <c r="AL52" s="60">
        <f>AA29</f>
        <v>4.4760114005183667</v>
      </c>
      <c r="AM52" s="31">
        <f>AB28</f>
        <v>-0.84628175366713532</v>
      </c>
      <c r="AN52" s="61">
        <f>AB29</f>
        <v>7.0959591552843655</v>
      </c>
      <c r="AO52" s="33">
        <f>AC28</f>
        <v>-0.58381837809601111</v>
      </c>
      <c r="AP52" s="60">
        <f>AC29</f>
        <v>2.3530432437384192</v>
      </c>
      <c r="AQ52" s="31">
        <f>AD28</f>
        <v>-0.57688044804976601</v>
      </c>
      <c r="AR52" s="61">
        <f>AD29</f>
        <v>2.0942561434697051</v>
      </c>
      <c r="AS52" s="31">
        <f>AE28</f>
        <v>-0.56884354915528612</v>
      </c>
      <c r="AT52" s="62">
        <f>AE29</f>
        <v>2.093114365701575E-3</v>
      </c>
    </row>
    <row r="53" spans="1:46" x14ac:dyDescent="0.35">
      <c r="A53" s="97" t="str">
        <f>A11</f>
        <v>G-PCC Octree PredLift v24</v>
      </c>
      <c r="B53" s="7">
        <f ca="1"/>
        <v>2.0615999999999999E-2</v>
      </c>
      <c r="C53">
        <f ca="1"/>
        <v>52.777700000000003</v>
      </c>
      <c r="D53">
        <f ca="1"/>
        <v>56.592599999999997</v>
      </c>
      <c r="E53">
        <f ca="1"/>
        <v>18.104099999999999</v>
      </c>
      <c r="F53">
        <f ca="1"/>
        <v>21.673300000000001</v>
      </c>
      <c r="G53" s="4">
        <f ca="1"/>
        <v>0.90536799999999995</v>
      </c>
      <c r="I53" s="30">
        <f ca="1"/>
        <v>18.104099999999999</v>
      </c>
      <c r="X53" s="100"/>
      <c r="Y53" s="25" t="s">
        <v>29</v>
      </c>
      <c r="Z53" s="35">
        <f>AG26</f>
        <v>-0.22888724818488515</v>
      </c>
      <c r="AA53" s="1">
        <f>AG27</f>
        <v>1.1011601104526836</v>
      </c>
      <c r="AB53" s="35">
        <f>AH26</f>
        <v>-0.29040613051548303</v>
      </c>
      <c r="AC53" s="43">
        <f>AH27</f>
        <v>1.4774424873956278</v>
      </c>
      <c r="AD53" s="82">
        <f>AI26</f>
        <v>0.21084778259189396</v>
      </c>
      <c r="AE53" s="72">
        <f>AI27</f>
        <v>-0.6929146961741014</v>
      </c>
      <c r="AF53" s="68">
        <f>AJ26</f>
        <v>0.18362155223626475</v>
      </c>
      <c r="AG53" s="77">
        <f>AJ27</f>
        <v>-0.59460085655970307</v>
      </c>
      <c r="AH53" s="68">
        <f>AK26</f>
        <v>4.0985389551209561E-2</v>
      </c>
      <c r="AI53" s="88">
        <f>AK27</f>
        <v>-1.2104774112381092E-4</v>
      </c>
      <c r="AK53" s="35">
        <f>AG28</f>
        <v>-0.228463291800727</v>
      </c>
      <c r="AL53" s="1">
        <f>AG29</f>
        <v>1.0103186110986742</v>
      </c>
      <c r="AM53" s="35">
        <f>AH28</f>
        <v>-0.29465311151363605</v>
      </c>
      <c r="AN53" s="43">
        <f>AH29</f>
        <v>1.4227786700206873</v>
      </c>
      <c r="AO53" s="40">
        <f>AI28</f>
        <v>0.13596209541100257</v>
      </c>
      <c r="AP53" s="1">
        <f>AI29</f>
        <v>-0.41652660359910659</v>
      </c>
      <c r="AQ53" s="35">
        <f>AJ28</f>
        <v>-2.0878373086491653E-2</v>
      </c>
      <c r="AR53" s="43">
        <f>AJ29</f>
        <v>-4.8447251201029801E-2</v>
      </c>
      <c r="AS53" s="35">
        <f>AK28</f>
        <v>0.18338616918965078</v>
      </c>
      <c r="AT53" s="49">
        <f>AK29</f>
        <v>-4.8530327916444902E-4</v>
      </c>
    </row>
    <row r="54" spans="1:46" x14ac:dyDescent="0.35">
      <c r="A54" s="97"/>
      <c r="B54" s="7">
        <f ca="1"/>
        <v>7.6858999999999997E-2</v>
      </c>
      <c r="C54">
        <f ca="1"/>
        <v>58.441200000000002</v>
      </c>
      <c r="D54">
        <f ca="1"/>
        <v>63.193800000000003</v>
      </c>
      <c r="E54">
        <f ca="1"/>
        <v>20.9436</v>
      </c>
      <c r="F54">
        <f ca="1"/>
        <v>24.31</v>
      </c>
      <c r="G54" s="4">
        <f ca="1"/>
        <v>0.96777400000000002</v>
      </c>
      <c r="I54" s="25">
        <f ca="1"/>
        <v>20.9436</v>
      </c>
      <c r="X54" s="100"/>
      <c r="Y54" s="25" t="s">
        <v>31</v>
      </c>
      <c r="Z54" s="35">
        <f>AM26</f>
        <v>-7.1838515355599597E-2</v>
      </c>
      <c r="AA54" s="1">
        <f>AM27</f>
        <v>0.18349716403808866</v>
      </c>
      <c r="AB54" s="35">
        <f>AN26</f>
        <v>0.10643458806254524</v>
      </c>
      <c r="AC54" s="43">
        <f>AN27</f>
        <v>-0.60821016877312972</v>
      </c>
      <c r="AD54" s="82">
        <f>AO26</f>
        <v>-7.7201740157792798E-2</v>
      </c>
      <c r="AE54" s="72">
        <f>AO27</f>
        <v>-6.6400147082785769E-3</v>
      </c>
      <c r="AF54" s="68">
        <f>AP26</f>
        <v>0.22262461462704541</v>
      </c>
      <c r="AG54" s="77">
        <f>AP27</f>
        <v>-0.46026773293165402</v>
      </c>
      <c r="AH54" s="68">
        <f>AQ26</f>
        <v>0.62338457413242976</v>
      </c>
      <c r="AI54" s="88">
        <f>AQ27</f>
        <v>-1.4914413616056933E-3</v>
      </c>
      <c r="AK54" s="35">
        <f>AM28</f>
        <v>-0.24829767922094348</v>
      </c>
      <c r="AL54" s="1">
        <f>AM29</f>
        <v>1.0515258565107339</v>
      </c>
      <c r="AM54" s="35">
        <f>AN28</f>
        <v>-0.10019810032980225</v>
      </c>
      <c r="AN54" s="43">
        <f>AN29</f>
        <v>0.40494465965427634</v>
      </c>
      <c r="AO54" s="40">
        <f>AO28</f>
        <v>-0.31546729041826493</v>
      </c>
      <c r="AP54" s="1">
        <f>AO29</f>
        <v>0.52731745008930375</v>
      </c>
      <c r="AQ54" s="35">
        <f>AP28</f>
        <v>-0.25837733961898657</v>
      </c>
      <c r="AR54" s="43">
        <f>AP29</f>
        <v>0.4347426039694034</v>
      </c>
      <c r="AS54" s="35">
        <f>AQ28</f>
        <v>0.37315050709513353</v>
      </c>
      <c r="AT54" s="49">
        <f>AQ29</f>
        <v>-1.0209188170485967E-3</v>
      </c>
    </row>
    <row r="55" spans="1:46" x14ac:dyDescent="0.35">
      <c r="A55" s="97"/>
      <c r="B55" s="7">
        <f ca="1"/>
        <v>0.345613</v>
      </c>
      <c r="C55">
        <f ca="1"/>
        <v>63.212400000000002</v>
      </c>
      <c r="D55">
        <f ca="1"/>
        <v>68.362700000000004</v>
      </c>
      <c r="E55">
        <f ca="1"/>
        <v>24.691700000000001</v>
      </c>
      <c r="F55">
        <f ca="1"/>
        <v>27.870930000000001</v>
      </c>
      <c r="G55" s="4">
        <f ca="1"/>
        <v>0.98783299999999996</v>
      </c>
      <c r="I55" s="25">
        <f ca="1"/>
        <v>24.691700000000001</v>
      </c>
      <c r="X55" s="101"/>
      <c r="Y55" s="41" t="s">
        <v>28</v>
      </c>
      <c r="Z55" s="38">
        <f>AS26</f>
        <v>0.25032194983590395</v>
      </c>
      <c r="AA55" s="42">
        <f>AS27</f>
        <v>-1.0432336831115625</v>
      </c>
      <c r="AB55" s="38">
        <f>AT26</f>
        <v>-0.12998135721937376</v>
      </c>
      <c r="AC55" s="39">
        <f>AT27</f>
        <v>0.63698864673805033</v>
      </c>
      <c r="AD55" s="83">
        <f>AU26</f>
        <v>-0.31631491489751962</v>
      </c>
      <c r="AE55" s="74">
        <f>AU27</f>
        <v>0.21511860095094279</v>
      </c>
      <c r="AF55" s="69">
        <f>AV26</f>
        <v>-0.35936237470285559</v>
      </c>
      <c r="AG55" s="79">
        <f>AV27</f>
        <v>0.42418792221211554</v>
      </c>
      <c r="AH55" s="69">
        <f>AW26</f>
        <v>0.10012550166066614</v>
      </c>
      <c r="AI55" s="86">
        <f>AW27</f>
        <v>-3.5143963669879936E-4</v>
      </c>
      <c r="AK55" s="38">
        <f>AS28</f>
        <v>0.12429523776793605</v>
      </c>
      <c r="AL55" s="42">
        <f>AS29</f>
        <v>-0.50582200868512106</v>
      </c>
      <c r="AM55" s="38">
        <f>AT28</f>
        <v>-0.22592977605448694</v>
      </c>
      <c r="AN55" s="39">
        <f>AT29</f>
        <v>1.179504980468856</v>
      </c>
      <c r="AO55" s="46">
        <f>AU28</f>
        <v>-0.3780265989010364</v>
      </c>
      <c r="AP55" s="42">
        <f>AU29</f>
        <v>0.734610580210039</v>
      </c>
      <c r="AQ55" s="38">
        <f>AV28</f>
        <v>-0.47054834402705081</v>
      </c>
      <c r="AR55" s="39">
        <f>AV29</f>
        <v>1.2756116629336383</v>
      </c>
      <c r="AS55" s="38">
        <f>AW28</f>
        <v>-3.3692067620876065E-2</v>
      </c>
      <c r="AT55" s="50">
        <f>AW29</f>
        <v>1.7404289049718705E-5</v>
      </c>
    </row>
    <row r="56" spans="1:46" x14ac:dyDescent="0.35">
      <c r="A56" s="97"/>
      <c r="B56" s="7">
        <f ca="1"/>
        <v>1.05379</v>
      </c>
      <c r="C56">
        <f ca="1"/>
        <v>67.983599999999996</v>
      </c>
      <c r="D56">
        <f ca="1"/>
        <v>72.961600000000004</v>
      </c>
      <c r="E56">
        <f ca="1"/>
        <v>28.13</v>
      </c>
      <c r="F56">
        <f ca="1"/>
        <v>31.193010000000001</v>
      </c>
      <c r="G56" s="4">
        <f ca="1"/>
        <v>0.993977</v>
      </c>
      <c r="I56" s="25">
        <f ca="1"/>
        <v>28.13</v>
      </c>
      <c r="X56" s="100" t="s">
        <v>171</v>
      </c>
      <c r="Y56" s="25" t="s">
        <v>36</v>
      </c>
      <c r="Z56" s="35">
        <f>AY26</f>
        <v>-0.33363378647416608</v>
      </c>
      <c r="AA56" s="1">
        <f>AY27</f>
        <v>1.1374058473471387</v>
      </c>
      <c r="AB56" s="35">
        <f>AZ26</f>
        <v>-0.19247409910077296</v>
      </c>
      <c r="AC56" s="43">
        <f>AZ27</f>
        <v>0.78551853157075946</v>
      </c>
      <c r="AD56" s="82">
        <f>BA26</f>
        <v>0.11248077428958925</v>
      </c>
      <c r="AE56" s="72">
        <f>BA27</f>
        <v>-0.6002935933136454</v>
      </c>
      <c r="AF56" s="68">
        <f>BB26</f>
        <v>0.2898921162700947</v>
      </c>
      <c r="AG56" s="77">
        <f>BB27</f>
        <v>-0.73436853091556886</v>
      </c>
      <c r="AH56" s="68">
        <f>BC26</f>
        <v>0.15605893590984476</v>
      </c>
      <c r="AI56" s="88">
        <f>BC27</f>
        <v>-5.6982001870151827E-4</v>
      </c>
      <c r="AK56" s="35">
        <f>AY28</f>
        <v>-0.24925646318076644</v>
      </c>
      <c r="AL56" s="1">
        <f>AY29</f>
        <v>0.782576335941224</v>
      </c>
      <c r="AM56" s="35">
        <f>AZ28</f>
        <v>-8.8220941468644565E-2</v>
      </c>
      <c r="AN56" s="43">
        <f>AZ29</f>
        <v>0.2987498403632628</v>
      </c>
      <c r="AO56" s="40">
        <f>BA28</f>
        <v>-2.9413934078043269E-2</v>
      </c>
      <c r="AP56" s="1">
        <f>BA29</f>
        <v>-0.32206827745408678</v>
      </c>
      <c r="AQ56" s="35">
        <f>BB28</f>
        <v>-0.10357187936672074</v>
      </c>
      <c r="AR56" s="43">
        <f>BB29</f>
        <v>-9.9065013451482012E-2</v>
      </c>
      <c r="AS56" s="35">
        <f>BC28</f>
        <v>0.16750169206364895</v>
      </c>
      <c r="AT56" s="49">
        <f>BC29</f>
        <v>-5.3050777155629015E-4</v>
      </c>
    </row>
    <row r="57" spans="1:46" x14ac:dyDescent="0.35">
      <c r="A57" s="97"/>
      <c r="B57" s="7">
        <f ca="1"/>
        <v>2.0350519999999999</v>
      </c>
      <c r="C57">
        <f ca="1"/>
        <v>69.679699999999997</v>
      </c>
      <c r="D57">
        <f ca="1"/>
        <v>74.494600000000005</v>
      </c>
      <c r="E57">
        <f ca="1"/>
        <v>31.476500000000001</v>
      </c>
      <c r="F57">
        <f ca="1"/>
        <v>34.337699999999998</v>
      </c>
      <c r="G57" s="4">
        <f ca="1"/>
        <v>0.99621800000000005</v>
      </c>
      <c r="I57" s="25">
        <f ca="1"/>
        <v>31.476500000000001</v>
      </c>
      <c r="X57" s="100"/>
      <c r="Y57" s="25" t="s">
        <v>32</v>
      </c>
      <c r="Z57" s="35">
        <f>BE26</f>
        <v>0.48320822293095445</v>
      </c>
      <c r="AA57" s="1">
        <f>BE27</f>
        <v>-2.192598343069228</v>
      </c>
      <c r="AB57" s="35">
        <f>BF26</f>
        <v>0.74323069756728111</v>
      </c>
      <c r="AC57" s="43">
        <f>BF27</f>
        <v>-2.7486761683285414</v>
      </c>
      <c r="AD57" s="82">
        <f>BG26</f>
        <v>0.64353295266266808</v>
      </c>
      <c r="AE57" s="72">
        <f>BG27</f>
        <v>-1.7151722798839584</v>
      </c>
      <c r="AF57" s="68">
        <f>BH26</f>
        <v>0.47597003829010265</v>
      </c>
      <c r="AG57" s="77">
        <f>BH27</f>
        <v>-1.2504610300583483</v>
      </c>
      <c r="AH57" s="68">
        <f>BI26</f>
        <v>0.11232800994033831</v>
      </c>
      <c r="AI57" s="88">
        <f>BI27</f>
        <v>-1.368130822223276E-3</v>
      </c>
      <c r="AK57" s="35">
        <f>BE28</f>
        <v>0.57894102126307256</v>
      </c>
      <c r="AL57" s="1">
        <f>BE29</f>
        <v>-2.2142354506222026</v>
      </c>
      <c r="AM57" s="35">
        <f>BF28</f>
        <v>0.85992042397630297</v>
      </c>
      <c r="AN57" s="43">
        <f>BF29</f>
        <v>-2.8591011199971761</v>
      </c>
      <c r="AO57" s="40">
        <f>BG28</f>
        <v>0.27262077339614432</v>
      </c>
      <c r="AP57" s="1">
        <f>BG29</f>
        <v>-1.075293939796258</v>
      </c>
      <c r="AQ57" s="35">
        <f>BH28</f>
        <v>7.9835628994175289E-2</v>
      </c>
      <c r="AR57" s="43">
        <f>BH29</f>
        <v>-0.55599794337529118</v>
      </c>
      <c r="AS57" s="35">
        <f>BI28</f>
        <v>2.6134694171821682E-2</v>
      </c>
      <c r="AT57" s="49">
        <f>BI29</f>
        <v>-4.109524567726604E-4</v>
      </c>
    </row>
    <row r="58" spans="1:46" x14ac:dyDescent="0.35">
      <c r="A58" s="98"/>
      <c r="B58" s="7">
        <f ca="1"/>
        <v>3.2983039999999999</v>
      </c>
      <c r="C58">
        <f ca="1"/>
        <v>70.366100000000003</v>
      </c>
      <c r="D58">
        <f ca="1"/>
        <v>75.128500000000003</v>
      </c>
      <c r="E58">
        <f ca="1"/>
        <v>34.575099999999999</v>
      </c>
      <c r="F58">
        <f ca="1"/>
        <v>37.28295</v>
      </c>
      <c r="G58" s="4">
        <f ca="1"/>
        <v>0.99751599999999996</v>
      </c>
      <c r="I58" s="41">
        <f ca="1"/>
        <v>34.575099999999999</v>
      </c>
      <c r="X58" s="100"/>
      <c r="Y58" s="25" t="s">
        <v>33</v>
      </c>
      <c r="Z58" s="35">
        <f>BK26</f>
        <v>0.75974572322093037</v>
      </c>
      <c r="AA58" s="1">
        <f>BK27</f>
        <v>-2.7668549136095701</v>
      </c>
      <c r="AB58" s="35">
        <f>BL26</f>
        <v>0.96614871560616611</v>
      </c>
      <c r="AC58" s="43">
        <f>BL27</f>
        <v>-3.3071678390569703</v>
      </c>
      <c r="AD58" s="82">
        <f>BM26</f>
        <v>0.61710019135494742</v>
      </c>
      <c r="AE58" s="72">
        <f>BM27</f>
        <v>-2.5865581419979966</v>
      </c>
      <c r="AF58" s="68">
        <f>BN26</f>
        <v>0.59543824079434726</v>
      </c>
      <c r="AG58" s="77">
        <f>BN27</f>
        <v>-2.243188657152869</v>
      </c>
      <c r="AH58" s="68">
        <f>BO26</f>
        <v>0.77602670570849575</v>
      </c>
      <c r="AI58" s="88">
        <f>BO27</f>
        <v>-2.5669587291367378E-3</v>
      </c>
      <c r="AK58" s="35">
        <f>BK28</f>
        <v>0.77926402789939164</v>
      </c>
      <c r="AL58" s="1">
        <f>BK29</f>
        <v>-2.5786718829119879</v>
      </c>
      <c r="AM58" s="35">
        <f>BL28</f>
        <v>0.98778672949195157</v>
      </c>
      <c r="AN58" s="43">
        <f>BL29</f>
        <v>-3.2879911267315665</v>
      </c>
      <c r="AO58" s="40">
        <f>BM28</f>
        <v>0.34281046243105417</v>
      </c>
      <c r="AP58" s="1">
        <f>BM29</f>
        <v>-1.9461700876096131</v>
      </c>
      <c r="AQ58" s="35">
        <f>BN28</f>
        <v>0.16280235079305849</v>
      </c>
      <c r="AR58" s="43">
        <f>BN29</f>
        <v>-1.3136855829412308</v>
      </c>
      <c r="AS58" s="35">
        <f>BO28</f>
        <v>0.73157045348072858</v>
      </c>
      <c r="AT58" s="49">
        <f>BO29</f>
        <v>-2.382240047558032E-3</v>
      </c>
    </row>
    <row r="59" spans="1:46" x14ac:dyDescent="0.35">
      <c r="A59" s="96" t="str">
        <f>A17</f>
        <v>V-PCC Intra v23</v>
      </c>
      <c r="B59" s="8">
        <f ca="1"/>
        <v>5.8663E-2</v>
      </c>
      <c r="C59" s="2">
        <f ca="1"/>
        <v>54.3005</v>
      </c>
      <c r="D59" s="2">
        <f ca="1"/>
        <v>55.449300000000001</v>
      </c>
      <c r="E59" s="2">
        <f ca="1"/>
        <v>20.9953</v>
      </c>
      <c r="F59" s="2">
        <f ca="1"/>
        <v>24.242039999999999</v>
      </c>
      <c r="G59" s="3">
        <f ca="1"/>
        <v>0.96818800000000005</v>
      </c>
      <c r="I59" s="25">
        <f ca="1"/>
        <v>20.9953</v>
      </c>
      <c r="X59" s="101"/>
      <c r="Y59" s="41" t="s">
        <v>34</v>
      </c>
      <c r="Z59" s="38">
        <f>BQ26</f>
        <v>1.0265606565471161</v>
      </c>
      <c r="AA59" s="42">
        <f>BQ27</f>
        <v>-3.5513843802244032</v>
      </c>
      <c r="AB59" s="38">
        <f>BR26</f>
        <v>-8.8759368009047934E-2</v>
      </c>
      <c r="AC59" s="39">
        <f>BR27</f>
        <v>-0.21208161808250853</v>
      </c>
      <c r="AD59" s="83">
        <f>BS26</f>
        <v>1.6896076312607109</v>
      </c>
      <c r="AE59" s="74">
        <f>BA27</f>
        <v>-0.6002935933136454</v>
      </c>
      <c r="AF59" s="69">
        <f>BT26</f>
        <v>1.3456900505506542</v>
      </c>
      <c r="AG59" s="79">
        <f>BT27</f>
        <v>-3.8710192001064807</v>
      </c>
      <c r="AH59" s="69">
        <f>BU26</f>
        <v>0.45940984042425415</v>
      </c>
      <c r="AI59" s="86">
        <f>BU27</f>
        <v>-1.1303666401768239E-3</v>
      </c>
      <c r="AK59" s="38">
        <f>BQ28</f>
        <v>0.77414722584360751</v>
      </c>
      <c r="AL59" s="42">
        <f>BQ29</f>
        <v>-3.1728802872483937</v>
      </c>
      <c r="AM59" s="38">
        <f>BR28</f>
        <v>-0.10367132213127539</v>
      </c>
      <c r="AN59" s="39">
        <f>BR29</f>
        <v>0.22559472661000968</v>
      </c>
      <c r="AO59" s="46">
        <f>BS28</f>
        <v>1.9935818108005225</v>
      </c>
      <c r="AP59" s="42">
        <f>BA29</f>
        <v>-0.32206827745408678</v>
      </c>
      <c r="AQ59" s="38">
        <f>BT28</f>
        <v>1.3216416000208673</v>
      </c>
      <c r="AR59" s="39">
        <f>BT29</f>
        <v>-3.3107357124780306</v>
      </c>
      <c r="AS59" s="38">
        <f>BU28</f>
        <v>0.55011583212084503</v>
      </c>
      <c r="AT59" s="50">
        <f>BU29</f>
        <v>-1.1505756432285941E-3</v>
      </c>
    </row>
    <row r="60" spans="1:46" x14ac:dyDescent="0.35">
      <c r="A60" s="97"/>
      <c r="B60" s="7">
        <f ca="1"/>
        <v>6.9492999999999999E-2</v>
      </c>
      <c r="C60">
        <f ca="1"/>
        <v>59.072000000000003</v>
      </c>
      <c r="D60">
        <f ca="1"/>
        <v>60.872900000000001</v>
      </c>
      <c r="E60">
        <f ca="1"/>
        <v>22.304099999999998</v>
      </c>
      <c r="F60">
        <f ca="1"/>
        <v>25.3688</v>
      </c>
      <c r="G60" s="4">
        <f ca="1"/>
        <v>0.97692100000000004</v>
      </c>
      <c r="I60" s="25">
        <f ca="1"/>
        <v>22.304099999999998</v>
      </c>
      <c r="Y60" s="26" t="s">
        <v>145</v>
      </c>
      <c r="Z60" s="38">
        <f t="shared" ref="Z60:AI60" si="18">AVERAGE(Z48:Z51)</f>
        <v>-0.8132438470589759</v>
      </c>
      <c r="AA60" s="42">
        <f t="shared" si="18"/>
        <v>6.8136465873729914</v>
      </c>
      <c r="AB60" s="38">
        <f t="shared" si="18"/>
        <v>-0.68053189826174876</v>
      </c>
      <c r="AC60" s="42">
        <f t="shared" si="18"/>
        <v>5.5319688569293506</v>
      </c>
      <c r="AD60" s="69">
        <f t="shared" si="18"/>
        <v>-0.16571530297555595</v>
      </c>
      <c r="AE60" s="74">
        <f t="shared" si="18"/>
        <v>1.0019126110856353</v>
      </c>
      <c r="AF60" s="69">
        <f t="shared" si="18"/>
        <v>-2.0469457192842988E-2</v>
      </c>
      <c r="AG60" s="74">
        <f t="shared" si="18"/>
        <v>0.4435107386852869</v>
      </c>
      <c r="AH60" s="69">
        <f t="shared" si="18"/>
        <v>-0.26520991874783317</v>
      </c>
      <c r="AI60" s="89">
        <f t="shared" si="18"/>
        <v>1.4143622948512228E-3</v>
      </c>
      <c r="AK60" s="38">
        <f t="shared" ref="AK60:AT60" si="19">AVERAGE(AK48:AK51)</f>
        <v>-0.81536064370472328</v>
      </c>
      <c r="AL60" s="42">
        <f t="shared" si="19"/>
        <v>6.7599694972595419</v>
      </c>
      <c r="AM60" s="38">
        <f t="shared" si="19"/>
        <v>-0.68302450934813974</v>
      </c>
      <c r="AN60" s="42">
        <f t="shared" si="19"/>
        <v>5.4025048944320204</v>
      </c>
      <c r="AO60" s="38">
        <f t="shared" si="19"/>
        <v>-0.30637630478113365</v>
      </c>
      <c r="AP60" s="42">
        <f t="shared" si="19"/>
        <v>1.6288687539187463</v>
      </c>
      <c r="AQ60" s="38">
        <f t="shared" si="19"/>
        <v>-0.30109945440876207</v>
      </c>
      <c r="AR60" s="42">
        <f t="shared" si="19"/>
        <v>1.5421463620126543</v>
      </c>
      <c r="AS60" s="38">
        <f t="shared" si="19"/>
        <v>-0.27619212726286763</v>
      </c>
      <c r="AT60" s="42">
        <f t="shared" si="19"/>
        <v>1.6425554951296768E-3</v>
      </c>
    </row>
    <row r="61" spans="1:46" x14ac:dyDescent="0.35">
      <c r="A61" s="97"/>
      <c r="B61" s="7">
        <f ca="1"/>
        <v>0.322876</v>
      </c>
      <c r="C61">
        <f ca="1"/>
        <v>68.464200000000005</v>
      </c>
      <c r="D61">
        <f ca="1"/>
        <v>71.698899999999995</v>
      </c>
      <c r="E61">
        <f ca="1"/>
        <v>26.365400000000001</v>
      </c>
      <c r="F61">
        <f ca="1"/>
        <v>29.02609</v>
      </c>
      <c r="G61" s="4">
        <f ca="1"/>
        <v>0.99007599999999996</v>
      </c>
      <c r="I61" s="25">
        <f ca="1"/>
        <v>26.365400000000001</v>
      </c>
      <c r="Y61" s="26" t="s">
        <v>146</v>
      </c>
      <c r="Z61" s="38">
        <f t="shared" ref="Z61:AI61" si="20">AVERAGE(Z52:Z55)</f>
        <v>-0.19300932678173904</v>
      </c>
      <c r="AA61" s="42">
        <f t="shared" si="20"/>
        <v>1.061506451552404</v>
      </c>
      <c r="AB61" s="38">
        <f t="shared" si="20"/>
        <v>-0.28741214282030231</v>
      </c>
      <c r="AC61" s="42">
        <f t="shared" si="20"/>
        <v>2.0471316558851358</v>
      </c>
      <c r="AD61" s="69">
        <f t="shared" si="20"/>
        <v>-0.17812419775922944</v>
      </c>
      <c r="AE61" s="74">
        <f t="shared" si="20"/>
        <v>0.43241874437331385</v>
      </c>
      <c r="AF61" s="69">
        <f t="shared" si="20"/>
        <v>-8.3047448673700286E-2</v>
      </c>
      <c r="AG61" s="74">
        <f t="shared" si="20"/>
        <v>0.17386950687779446</v>
      </c>
      <c r="AH61" s="69">
        <f t="shared" si="20"/>
        <v>4.5757565184307403E-2</v>
      </c>
      <c r="AI61" s="89">
        <f t="shared" si="20"/>
        <v>1.8874077750854429E-5</v>
      </c>
      <c r="AK61" s="38">
        <f t="shared" ref="AK61:AT61" si="21">AVERAGE(AK52:AK55)</f>
        <v>-0.27463817336068463</v>
      </c>
      <c r="AL61" s="42">
        <f t="shared" si="21"/>
        <v>1.5080084648606633</v>
      </c>
      <c r="AM61" s="38">
        <f t="shared" si="21"/>
        <v>-0.36676568539126514</v>
      </c>
      <c r="AN61" s="42">
        <f t="shared" si="21"/>
        <v>2.5257968663570463</v>
      </c>
      <c r="AO61" s="38">
        <f t="shared" si="21"/>
        <v>-0.2853375430010775</v>
      </c>
      <c r="AP61" s="42">
        <f t="shared" si="21"/>
        <v>0.79961116760966389</v>
      </c>
      <c r="AQ61" s="38">
        <f t="shared" si="21"/>
        <v>-0.33167112619557376</v>
      </c>
      <c r="AR61" s="42">
        <f t="shared" si="21"/>
        <v>0.93904078979292926</v>
      </c>
      <c r="AS61" s="38">
        <f t="shared" si="21"/>
        <v>-1.1499735122844468E-2</v>
      </c>
      <c r="AT61" s="42">
        <f t="shared" si="21"/>
        <v>1.5107413963456198E-4</v>
      </c>
    </row>
    <row r="62" spans="1:46" x14ac:dyDescent="0.35">
      <c r="A62" s="97"/>
      <c r="B62" s="7">
        <f ca="1"/>
        <v>0.95499999999999996</v>
      </c>
      <c r="C62">
        <f ca="1"/>
        <v>69.889300000000006</v>
      </c>
      <c r="D62">
        <f ca="1"/>
        <v>73.3292</v>
      </c>
      <c r="E62">
        <f ca="1"/>
        <v>29.175899999999999</v>
      </c>
      <c r="F62">
        <f ca="1"/>
        <v>31.414709999999999</v>
      </c>
      <c r="G62" s="4">
        <f ca="1"/>
        <v>0.99388799999999999</v>
      </c>
      <c r="I62" s="25">
        <f ca="1"/>
        <v>29.175899999999999</v>
      </c>
      <c r="Y62" s="26" t="s">
        <v>147</v>
      </c>
      <c r="Z62" s="38">
        <f t="shared" ref="Z62:AI62" si="22">AVERAGE(Z56:Z59)</f>
        <v>0.48397020405620872</v>
      </c>
      <c r="AA62" s="42">
        <f t="shared" si="22"/>
        <v>-1.8433579473890158</v>
      </c>
      <c r="AB62" s="38">
        <f t="shared" si="22"/>
        <v>0.35703648651590658</v>
      </c>
      <c r="AC62" s="42">
        <f t="shared" si="22"/>
        <v>-1.3706017734743152</v>
      </c>
      <c r="AD62" s="69">
        <f t="shared" si="22"/>
        <v>0.76568038739197886</v>
      </c>
      <c r="AE62" s="74">
        <f t="shared" si="22"/>
        <v>-1.3755794021273113</v>
      </c>
      <c r="AF62" s="69">
        <f t="shared" si="22"/>
        <v>0.67674761147629969</v>
      </c>
      <c r="AG62" s="74">
        <f t="shared" si="22"/>
        <v>-2.0247593545583169</v>
      </c>
      <c r="AH62" s="69">
        <f t="shared" si="22"/>
        <v>0.37595587299573324</v>
      </c>
      <c r="AI62" s="89">
        <f t="shared" si="22"/>
        <v>-1.408819052559589E-3</v>
      </c>
      <c r="AK62" s="38">
        <f t="shared" ref="AK62:AT62" si="23">AVERAGE(AK56:AK59)</f>
        <v>0.47077395295632629</v>
      </c>
      <c r="AL62" s="42">
        <f t="shared" si="23"/>
        <v>-1.7958028212103399</v>
      </c>
      <c r="AM62" s="38">
        <f t="shared" si="23"/>
        <v>0.41395372246708362</v>
      </c>
      <c r="AN62" s="42">
        <f t="shared" si="23"/>
        <v>-1.4056869199388675</v>
      </c>
      <c r="AO62" s="38">
        <f t="shared" si="23"/>
        <v>0.6448997781374195</v>
      </c>
      <c r="AP62" s="42">
        <f t="shared" si="23"/>
        <v>-0.91640014557851113</v>
      </c>
      <c r="AQ62" s="38">
        <f t="shared" si="23"/>
        <v>0.36517692511034505</v>
      </c>
      <c r="AR62" s="42">
        <f t="shared" si="23"/>
        <v>-1.3198710630615087</v>
      </c>
      <c r="AS62" s="38">
        <f t="shared" si="23"/>
        <v>0.36883066795926106</v>
      </c>
      <c r="AT62" s="42">
        <f t="shared" si="23"/>
        <v>-1.1185689797788942E-3</v>
      </c>
    </row>
    <row r="63" spans="1:46" x14ac:dyDescent="0.35">
      <c r="A63" s="97"/>
      <c r="B63" s="7">
        <f ca="1"/>
        <v>2.1757140000000001</v>
      </c>
      <c r="C63">
        <f ca="1"/>
        <v>70.372900000000001</v>
      </c>
      <c r="D63">
        <f ca="1"/>
        <v>73.705699999999993</v>
      </c>
      <c r="E63">
        <f ca="1"/>
        <v>32.224899999999998</v>
      </c>
      <c r="F63">
        <f ca="1"/>
        <v>34.157580000000003</v>
      </c>
      <c r="G63" s="4">
        <f ca="1"/>
        <v>0.99609800000000004</v>
      </c>
      <c r="I63" s="25">
        <f ca="1"/>
        <v>32.224899999999998</v>
      </c>
    </row>
    <row r="64" spans="1:46" x14ac:dyDescent="0.35">
      <c r="A64" s="98"/>
      <c r="B64" s="9">
        <f ca="1"/>
        <v>3.051501</v>
      </c>
      <c r="C64" s="5">
        <f ca="1"/>
        <v>71.271000000000001</v>
      </c>
      <c r="D64" s="5">
        <f ca="1"/>
        <v>74.218900000000005</v>
      </c>
      <c r="E64" s="5">
        <f ca="1"/>
        <v>32.748100000000001</v>
      </c>
      <c r="F64" s="5">
        <f ca="1"/>
        <v>34.600540000000002</v>
      </c>
      <c r="G64" s="6">
        <f ca="1"/>
        <v>0.99711000000000005</v>
      </c>
      <c r="I64" s="41">
        <f ca="1"/>
        <v>32.748100000000001</v>
      </c>
      <c r="Y64" t="s">
        <v>167</v>
      </c>
    </row>
    <row r="66" spans="1:46" x14ac:dyDescent="0.35">
      <c r="Z66" s="93" t="str">
        <f>A31</f>
        <v>JPEG PCC VM v4.1</v>
      </c>
      <c r="AA66" s="94"/>
      <c r="AB66" s="94"/>
      <c r="AC66" s="94"/>
      <c r="AD66" s="94"/>
      <c r="AE66" s="94"/>
      <c r="AF66" s="94"/>
      <c r="AG66" s="94"/>
      <c r="AH66" s="94"/>
      <c r="AI66" s="95"/>
      <c r="AK66" s="93" t="str">
        <f>A33</f>
        <v>JPEG PCC VM v4.1 (VVC)</v>
      </c>
      <c r="AL66" s="94"/>
      <c r="AM66" s="94"/>
      <c r="AN66" s="94"/>
      <c r="AO66" s="94"/>
      <c r="AP66" s="94"/>
      <c r="AQ66" s="94"/>
      <c r="AR66" s="94"/>
      <c r="AS66" s="94"/>
      <c r="AT66" s="95"/>
    </row>
    <row r="67" spans="1:46" x14ac:dyDescent="0.35">
      <c r="C67" t="s">
        <v>141</v>
      </c>
      <c r="D67" t="s">
        <v>142</v>
      </c>
      <c r="E67" t="s">
        <v>11</v>
      </c>
      <c r="F67" t="s">
        <v>143</v>
      </c>
      <c r="G67" t="s">
        <v>137</v>
      </c>
      <c r="I67" t="str">
        <f ca="1">IF(I44="1-PCQM",I44,_xlfn.CONCAT(I44," (dB)"))</f>
        <v>PSNR Y (dB)</v>
      </c>
      <c r="Z67" s="102" t="s">
        <v>148</v>
      </c>
      <c r="AA67" s="103"/>
      <c r="AB67" s="90" t="s">
        <v>149</v>
      </c>
      <c r="AC67" s="92"/>
      <c r="AD67" s="103" t="s">
        <v>150</v>
      </c>
      <c r="AE67" s="103"/>
      <c r="AF67" s="90" t="s">
        <v>151</v>
      </c>
      <c r="AG67" s="92"/>
      <c r="AH67" s="103" t="s">
        <v>144</v>
      </c>
      <c r="AI67" s="104"/>
      <c r="AK67" s="102" t="s">
        <v>148</v>
      </c>
      <c r="AL67" s="103"/>
      <c r="AM67" s="90" t="s">
        <v>149</v>
      </c>
      <c r="AN67" s="92"/>
      <c r="AO67" s="103" t="s">
        <v>150</v>
      </c>
      <c r="AP67" s="103"/>
      <c r="AQ67" s="90" t="s">
        <v>151</v>
      </c>
      <c r="AR67" s="92"/>
      <c r="AS67" s="103" t="s">
        <v>144</v>
      </c>
      <c r="AT67" s="104"/>
    </row>
    <row r="68" spans="1:46" x14ac:dyDescent="0.35">
      <c r="A68" t="s">
        <v>7</v>
      </c>
      <c r="B68">
        <f ca="1">ROUNDDOWN(MIN(SMALL(B45:B48,1),SMALL(B59:B64,1)),0)</f>
        <v>0</v>
      </c>
      <c r="C68">
        <f ca="1">ROUNDDOWN(SMALL(C45:C64,1),0)</f>
        <v>52</v>
      </c>
      <c r="D68">
        <f ca="1">ROUNDDOWN(SMALL(D45:D64,1),0)</f>
        <v>55</v>
      </c>
      <c r="E68">
        <f ca="1">ROUNDDOWN(SMALL(E45:E64,1),0)</f>
        <v>18</v>
      </c>
      <c r="F68">
        <f ca="1">ROUNDDOWN(SMALL(F45:F64,1),0)</f>
        <v>21</v>
      </c>
      <c r="G68">
        <f ca="1">ROUNDDOWN(SMALL(G54:G64,1),2)</f>
        <v>0.96</v>
      </c>
      <c r="I68">
        <f ca="1">IF(I44="1-PCQM",ROUNDDOWN(SMALL(I54:I64,1),3),ROUNDDOWN(SMALL(I45:I64,1),0))</f>
        <v>18</v>
      </c>
      <c r="X68" s="59" t="s">
        <v>168</v>
      </c>
      <c r="Y68" s="28" t="s">
        <v>140</v>
      </c>
      <c r="Z68" s="29" t="s">
        <v>17</v>
      </c>
      <c r="AA68" s="21" t="s">
        <v>18</v>
      </c>
      <c r="AB68" s="29" t="s">
        <v>17</v>
      </c>
      <c r="AC68" s="22" t="s">
        <v>18</v>
      </c>
      <c r="AD68" s="21" t="s">
        <v>17</v>
      </c>
      <c r="AE68" s="21" t="s">
        <v>18</v>
      </c>
      <c r="AF68" s="29" t="s">
        <v>17</v>
      </c>
      <c r="AG68" s="22" t="s">
        <v>18</v>
      </c>
      <c r="AH68" s="21" t="s">
        <v>17</v>
      </c>
      <c r="AI68" s="22" t="s">
        <v>18</v>
      </c>
      <c r="AK68" s="29" t="s">
        <v>17</v>
      </c>
      <c r="AL68" s="21" t="s">
        <v>18</v>
      </c>
      <c r="AM68" s="29" t="s">
        <v>17</v>
      </c>
      <c r="AN68" s="22" t="s">
        <v>18</v>
      </c>
      <c r="AO68" s="21" t="s">
        <v>17</v>
      </c>
      <c r="AP68" s="21" t="s">
        <v>18</v>
      </c>
      <c r="AQ68" s="29" t="s">
        <v>17</v>
      </c>
      <c r="AR68" s="22" t="s">
        <v>18</v>
      </c>
      <c r="AS68" s="21" t="s">
        <v>17</v>
      </c>
      <c r="AT68" s="22" t="s">
        <v>18</v>
      </c>
    </row>
    <row r="69" spans="1:46" x14ac:dyDescent="0.35">
      <c r="A69" t="s">
        <v>10</v>
      </c>
      <c r="B69">
        <f ca="1">ROUNDUP(LARGE(B45:B64,1),1)</f>
        <v>3.3000000000000003</v>
      </c>
      <c r="C69">
        <f ca="1">ROUNDUP(LARGE(C45:C64,1),1)</f>
        <v>76.199999999999989</v>
      </c>
      <c r="D69">
        <f ca="1">ROUNDUP(LARGE(D45:D64,1),1)</f>
        <v>80.5</v>
      </c>
      <c r="E69">
        <f ca="1">ROUNDUP(LARGE(E45:E64,1),1)</f>
        <v>34.6</v>
      </c>
      <c r="F69">
        <f ca="1">ROUNDUP(LARGE(F45:F64,1),1)</f>
        <v>37.300000000000004</v>
      </c>
      <c r="G69">
        <f ca="1">ROUNDUP(LARGE(G45:G64,1),2)</f>
        <v>1</v>
      </c>
      <c r="I69">
        <f ca="1">ROUNDUP(LARGE(I45:I64,1),IF(I44="1-PCQM",2,1))</f>
        <v>34.6</v>
      </c>
      <c r="X69" s="99" t="s">
        <v>169</v>
      </c>
      <c r="Y69" s="30" t="s">
        <v>133</v>
      </c>
      <c r="Z69" s="31">
        <f>C31</f>
        <v>-0.15067031053786883</v>
      </c>
      <c r="AA69" s="34">
        <f>C32</f>
        <v>1.6037413352875263</v>
      </c>
      <c r="AB69" s="31">
        <f>D31</f>
        <v>-8.4399261840336637E-2</v>
      </c>
      <c r="AC69" s="32">
        <f>D32</f>
        <v>1.9060622377883338</v>
      </c>
      <c r="AD69" s="81">
        <f>E31</f>
        <v>0.8492089068043398</v>
      </c>
      <c r="AE69" s="70">
        <f>E32</f>
        <v>-1.8058530401898187</v>
      </c>
      <c r="AF69" s="67">
        <f>F31</f>
        <v>0.69655960347578105</v>
      </c>
      <c r="AG69" s="75">
        <f>F32</f>
        <v>-1.3804260962793853</v>
      </c>
      <c r="AH69" s="67">
        <f>G31</f>
        <v>0.38088209921041716</v>
      </c>
      <c r="AI69" s="84">
        <f>G32</f>
        <v>-2.8470282400231946E-3</v>
      </c>
      <c r="AK69" s="31">
        <f>C33</f>
        <v>-0.23077625711106087</v>
      </c>
      <c r="AL69" s="34">
        <f>C34</f>
        <v>2.1298299831961121</v>
      </c>
      <c r="AM69" s="31">
        <f>D33</f>
        <v>-0.1681135272944132</v>
      </c>
      <c r="AN69" s="32">
        <f>D34</f>
        <v>2.5063727640475517</v>
      </c>
      <c r="AO69" s="33">
        <f>E33</f>
        <v>0.42977759415386418</v>
      </c>
      <c r="AP69" s="34">
        <f>E34</f>
        <v>-1.1005323783589356</v>
      </c>
      <c r="AQ69" s="31">
        <f>F33</f>
        <v>0.15271774134105232</v>
      </c>
      <c r="AR69" s="32">
        <f>F34</f>
        <v>-0.4171540511333785</v>
      </c>
      <c r="AS69" s="31">
        <f>G33</f>
        <v>0.29132693993481573</v>
      </c>
      <c r="AT69" s="47">
        <f>G34</f>
        <v>-2.3180154860962285E-3</v>
      </c>
    </row>
    <row r="70" spans="1:46" x14ac:dyDescent="0.35">
      <c r="X70" s="100"/>
      <c r="Y70" s="25" t="s">
        <v>134</v>
      </c>
      <c r="Z70" s="35">
        <f>I31</f>
        <v>-0.76116396837609046</v>
      </c>
      <c r="AA70" s="37">
        <f>I32</f>
        <v>4.2994686802005013</v>
      </c>
      <c r="AB70" s="35">
        <f>J31</f>
        <v>-0.76110148144359979</v>
      </c>
      <c r="AC70" s="36">
        <f>J32</f>
        <v>4.7702376961106197</v>
      </c>
      <c r="AD70" s="82">
        <f>K31</f>
        <v>1.133669748930525</v>
      </c>
      <c r="AE70" s="71">
        <f>K32</f>
        <v>-1.9552254430329963</v>
      </c>
      <c r="AF70" s="68">
        <f>L31</f>
        <v>1.2434357166552972</v>
      </c>
      <c r="AG70" s="76">
        <f>L32</f>
        <v>-1.9444024592641023</v>
      </c>
      <c r="AH70" s="68">
        <f>M31</f>
        <v>0.25504177808034045</v>
      </c>
      <c r="AI70" s="85">
        <f>M32</f>
        <v>-2.0405747251833646E-3</v>
      </c>
      <c r="AK70" s="35">
        <f>I33</f>
        <v>-0.74881315319789554</v>
      </c>
      <c r="AL70" s="37">
        <f>I34</f>
        <v>3.9174029877902536</v>
      </c>
      <c r="AM70" s="35">
        <f>J33</f>
        <v>-0.74786142444935033</v>
      </c>
      <c r="AN70" s="36">
        <f>J34</f>
        <v>4.3641678837146305</v>
      </c>
      <c r="AO70" s="40">
        <f>K33</f>
        <v>0.68825457167348536</v>
      </c>
      <c r="AP70" s="37">
        <f>K34</f>
        <v>-1.3673519677130332</v>
      </c>
      <c r="AQ70" s="35">
        <f>L33</f>
        <v>0.45869569027118073</v>
      </c>
      <c r="AR70" s="36">
        <f>L34</f>
        <v>-0.92815633427629052</v>
      </c>
      <c r="AS70" s="35">
        <f>M33</f>
        <v>0.19495463734689</v>
      </c>
      <c r="AT70" s="48">
        <f>M34</f>
        <v>-2.0317817503525161E-3</v>
      </c>
    </row>
    <row r="71" spans="1:46" x14ac:dyDescent="0.35">
      <c r="X71" s="100"/>
      <c r="Y71" s="25" t="s">
        <v>19</v>
      </c>
      <c r="Z71" s="35">
        <f>O31</f>
        <v>-0.39399207705837025</v>
      </c>
      <c r="AA71" s="37">
        <f>O32</f>
        <v>2.5777738662485725</v>
      </c>
      <c r="AB71" s="35">
        <f>P31</f>
        <v>-0.42743017490307855</v>
      </c>
      <c r="AC71" s="36">
        <f>P32</f>
        <v>3.0452453300849345</v>
      </c>
      <c r="AD71" s="82">
        <f>Q31</f>
        <v>0.5939629917647129</v>
      </c>
      <c r="AE71" s="71">
        <f>Q32</f>
        <v>-2.280458608059087</v>
      </c>
      <c r="AF71" s="68">
        <f>R31</f>
        <v>0.50301429764914984</v>
      </c>
      <c r="AG71" s="76">
        <f>R32</f>
        <v>-1.7772965340760141</v>
      </c>
      <c r="AH71" s="68">
        <f>S31</f>
        <v>7.8468096429717971E-3</v>
      </c>
      <c r="AI71" s="85">
        <f>S32</f>
        <v>1.7100727412389186E-4</v>
      </c>
      <c r="AK71" s="35">
        <f>O33</f>
        <v>-0.38385570251235079</v>
      </c>
      <c r="AL71" s="37">
        <f>O34</f>
        <v>2.1745567055129795</v>
      </c>
      <c r="AM71" s="35">
        <f>P33</f>
        <v>-0.41342512055599367</v>
      </c>
      <c r="AN71" s="36">
        <f>P34</f>
        <v>2.6567269806402734</v>
      </c>
      <c r="AO71" s="40">
        <f>Q33</f>
        <v>0.38849618574892708</v>
      </c>
      <c r="AP71" s="37">
        <f>Q34</f>
        <v>-1.5886982199210051</v>
      </c>
      <c r="AQ71" s="35">
        <f>R33</f>
        <v>0.19253292359695928</v>
      </c>
      <c r="AR71" s="36">
        <f>R34</f>
        <v>-0.73161751413965614</v>
      </c>
      <c r="AS71" s="35">
        <f>S33</f>
        <v>4.8187881353522144E-2</v>
      </c>
      <c r="AT71" s="48">
        <f>S34</f>
        <v>-1.8803744851124765E-4</v>
      </c>
    </row>
    <row r="72" spans="1:46" x14ac:dyDescent="0.35">
      <c r="A72" t="s">
        <v>160</v>
      </c>
      <c r="L72" t="s">
        <v>0</v>
      </c>
      <c r="M72" t="s">
        <v>1</v>
      </c>
      <c r="N72" t="s">
        <v>2</v>
      </c>
      <c r="O72" t="s">
        <v>3</v>
      </c>
      <c r="P72" t="s">
        <v>4</v>
      </c>
      <c r="Q72" t="s">
        <v>5</v>
      </c>
      <c r="X72" s="101"/>
      <c r="Y72" s="41" t="s">
        <v>21</v>
      </c>
      <c r="Z72" s="38">
        <f>U31</f>
        <v>-0.60786965087960265</v>
      </c>
      <c r="AA72" s="42">
        <f>U32</f>
        <v>3.1983722524466454</v>
      </c>
      <c r="AB72" s="38">
        <f>V31</f>
        <v>-0.5699475257764367</v>
      </c>
      <c r="AC72" s="39">
        <f>V32</f>
        <v>3.6913487103914115</v>
      </c>
      <c r="AD72" s="83">
        <f>W31</f>
        <v>0.41036346694231196</v>
      </c>
      <c r="AE72" s="74">
        <f>W32</f>
        <v>-1.652524929468959</v>
      </c>
      <c r="AF72" s="69">
        <f>X31</f>
        <v>0.47994344649942344</v>
      </c>
      <c r="AG72" s="79">
        <f>X32</f>
        <v>-1.7862132585392647</v>
      </c>
      <c r="AH72" s="69">
        <f>Y31</f>
        <v>-0.2891809329786551</v>
      </c>
      <c r="AI72" s="86">
        <f>Y32</f>
        <v>5.1229773360911746E-4</v>
      </c>
      <c r="AK72" s="35">
        <f>U33</f>
        <v>-0.5284618016873972</v>
      </c>
      <c r="AL72" s="1">
        <f>U34</f>
        <v>2.8276306841888093</v>
      </c>
      <c r="AM72" s="35">
        <f>V33</f>
        <v>-0.49190849966179528</v>
      </c>
      <c r="AN72" s="43">
        <f>V34</f>
        <v>3.2500155483762785</v>
      </c>
      <c r="AO72" s="40">
        <f>W33</f>
        <v>0.29063190806353312</v>
      </c>
      <c r="AP72" s="1">
        <f>W34</f>
        <v>-1.2495390897270076</v>
      </c>
      <c r="AQ72" s="35">
        <f>X33</f>
        <v>0.12415231244135838</v>
      </c>
      <c r="AR72" s="43">
        <f>X34</f>
        <v>-0.53900602869025815</v>
      </c>
      <c r="AS72" s="35">
        <f>Y33</f>
        <v>-0.23431849780826264</v>
      </c>
      <c r="AT72" s="49">
        <f>Y34</f>
        <v>4.4865367835323554E-4</v>
      </c>
    </row>
    <row r="73" spans="1:46" x14ac:dyDescent="0.35">
      <c r="A73" t="s">
        <v>161</v>
      </c>
      <c r="X73" s="99" t="s">
        <v>170</v>
      </c>
      <c r="Y73" s="30" t="s">
        <v>20</v>
      </c>
      <c r="Z73" s="31">
        <f>AA31</f>
        <v>-0.28338629111207836</v>
      </c>
      <c r="AA73" s="60">
        <f>AA32</f>
        <v>0.667316474139236</v>
      </c>
      <c r="AB73" s="31">
        <f>AB31</f>
        <v>-0.28906702188765065</v>
      </c>
      <c r="AC73" s="61">
        <f>AB32</f>
        <v>1.415665810820379</v>
      </c>
      <c r="AD73" s="81">
        <f>AC31</f>
        <v>0.3677316649277016</v>
      </c>
      <c r="AE73" s="73">
        <f>AC32</f>
        <v>-0.99135923148574656</v>
      </c>
      <c r="AF73" s="67">
        <f>AD31</f>
        <v>0.40084664349987831</v>
      </c>
      <c r="AG73" s="78">
        <f>AD32</f>
        <v>-0.97293774783547482</v>
      </c>
      <c r="AH73" s="67">
        <f>AE31</f>
        <v>-5.6516534989391576E-2</v>
      </c>
      <c r="AI73" s="87">
        <f>AE32</f>
        <v>1.9631040494612334E-4</v>
      </c>
      <c r="AK73" s="31">
        <f>AA33</f>
        <v>-0.33774389649091074</v>
      </c>
      <c r="AL73" s="60">
        <f>AA34</f>
        <v>0.96647853854964605</v>
      </c>
      <c r="AM73" s="31">
        <f>AB33</f>
        <v>-0.33518259609841927</v>
      </c>
      <c r="AN73" s="61">
        <f>AB34</f>
        <v>1.8576943603392342</v>
      </c>
      <c r="AO73" s="33">
        <f>AC33</f>
        <v>0.15780499983484075</v>
      </c>
      <c r="AP73" s="60">
        <f>AC34</f>
        <v>-0.79161217577168086</v>
      </c>
      <c r="AQ73" s="31">
        <f>AD33</f>
        <v>1.3564564762769793E-2</v>
      </c>
      <c r="AR73" s="61">
        <f>AD34</f>
        <v>-0.10985510502452085</v>
      </c>
      <c r="AS73" s="31">
        <f>AE33</f>
        <v>-7.0447050544202416E-2</v>
      </c>
      <c r="AT73" s="62">
        <f>AE34</f>
        <v>2.1655985194011555E-4</v>
      </c>
    </row>
    <row r="74" spans="1:46" x14ac:dyDescent="0.35">
      <c r="A74" t="s">
        <v>163</v>
      </c>
      <c r="L74" t="s">
        <v>188</v>
      </c>
      <c r="M74" t="s">
        <v>6</v>
      </c>
      <c r="N74" t="s">
        <v>7</v>
      </c>
      <c r="O74" t="s">
        <v>8</v>
      </c>
      <c r="P74" t="s">
        <v>9</v>
      </c>
      <c r="Q74">
        <v>0</v>
      </c>
      <c r="S74" t="str" cm="1">
        <f t="array" ref="S74">setChartAxis(L74,M74,N74,O74,P74,Q74)</f>
        <v>X Primary Min: 0</v>
      </c>
      <c r="X74" s="100"/>
      <c r="Y74" s="25" t="s">
        <v>29</v>
      </c>
      <c r="Z74" s="35">
        <f>AG31</f>
        <v>8.6159069338757277E-2</v>
      </c>
      <c r="AA74" s="1">
        <f>AG32</f>
        <v>-0.19949348963488098</v>
      </c>
      <c r="AB74" s="35">
        <f>AH31</f>
        <v>-0.37903849463032102</v>
      </c>
      <c r="AC74" s="43">
        <f>AH32</f>
        <v>1.6763888717873043</v>
      </c>
      <c r="AD74" s="82">
        <f>AI31</f>
        <v>1.4944115729197414</v>
      </c>
      <c r="AE74" s="72">
        <f>AI32</f>
        <v>-1.6457359475320052</v>
      </c>
      <c r="AF74" s="68">
        <f>AJ31</f>
        <v>1.3248317650546486</v>
      </c>
      <c r="AG74" s="77">
        <f>AJ32</f>
        <v>-1.366100408739642</v>
      </c>
      <c r="AH74" s="68">
        <f>AK31</f>
        <v>8.892363341194276E-2</v>
      </c>
      <c r="AI74" s="88">
        <f>AK32</f>
        <v>-2.5451023564398322E-4</v>
      </c>
      <c r="AK74" s="35">
        <f>AG33</f>
        <v>8.7591399410330339E-2</v>
      </c>
      <c r="AL74" s="1">
        <f>AG34</f>
        <v>-0.24568081540576173</v>
      </c>
      <c r="AM74" s="35">
        <f>AH33</f>
        <v>-0.36787231373446339</v>
      </c>
      <c r="AN74" s="43">
        <f>AH34</f>
        <v>1.6457846150172148</v>
      </c>
      <c r="AO74" s="40">
        <f>AI33</f>
        <v>1.1285357174226132</v>
      </c>
      <c r="AP74" s="1">
        <f>AI34</f>
        <v>-1.3379746609705974</v>
      </c>
      <c r="AQ74" s="35">
        <f>AJ33</f>
        <v>0.63372912340048604</v>
      </c>
      <c r="AR74" s="43">
        <f>AJ34</f>
        <v>-0.78574533017898596</v>
      </c>
      <c r="AS74" s="35">
        <f>AK33</f>
        <v>0.24145887744749883</v>
      </c>
      <c r="AT74" s="49">
        <f>AK34</f>
        <v>-5.5220838707738566E-4</v>
      </c>
    </row>
    <row r="75" spans="1:46" x14ac:dyDescent="0.35">
      <c r="A75" t="s">
        <v>164</v>
      </c>
      <c r="L75" t="str">
        <f>L74</f>
        <v>GeometryColor</v>
      </c>
      <c r="M75" t="str">
        <f>M74</f>
        <v>Chart1</v>
      </c>
      <c r="N75" t="s">
        <v>10</v>
      </c>
      <c r="O75" t="s">
        <v>8</v>
      </c>
      <c r="P75" t="s">
        <v>9</v>
      </c>
      <c r="Q75">
        <f ca="1">B69</f>
        <v>3.3000000000000003</v>
      </c>
      <c r="S75" t="str" cm="1">
        <f t="array" aca="1" ref="S75" ca="1">setChartAxis(L75,M75,N75,O75,P75,Q75)</f>
        <v>X Primary Max: 3,3</v>
      </c>
      <c r="X75" s="100"/>
      <c r="Y75" s="25" t="s">
        <v>31</v>
      </c>
      <c r="Z75" s="35">
        <f>AM31</f>
        <v>0.5417946667884328</v>
      </c>
      <c r="AA75" s="1">
        <f>AM32</f>
        <v>-1.6880443774992631</v>
      </c>
      <c r="AB75" s="35">
        <f>AN31</f>
        <v>0.66248139454366939</v>
      </c>
      <c r="AC75" s="43">
        <f>AN32</f>
        <v>-2.2683858994686581</v>
      </c>
      <c r="AD75" s="82">
        <f>AO31</f>
        <v>0.43342575871752076</v>
      </c>
      <c r="AE75" s="72">
        <f>AO32</f>
        <v>-0.85803157854012313</v>
      </c>
      <c r="AF75" s="68">
        <f>AP31</f>
        <v>0.25651228259159842</v>
      </c>
      <c r="AG75" s="77">
        <f>AP32</f>
        <v>-0.63623283530162289</v>
      </c>
      <c r="AH75" s="68">
        <f>AQ31</f>
        <v>6.2920769848697988E-2</v>
      </c>
      <c r="AI75" s="88">
        <f>AQ32</f>
        <v>-2.9185672324396321E-4</v>
      </c>
      <c r="AK75" s="35">
        <f>AM33</f>
        <v>0.3282729727278384</v>
      </c>
      <c r="AL75" s="1">
        <f>AM34</f>
        <v>-1.0145832346602162</v>
      </c>
      <c r="AM75" s="35">
        <f>AN33</f>
        <v>0.40842361978934383</v>
      </c>
      <c r="AN75" s="43">
        <f>AN34</f>
        <v>-1.3709403198720622</v>
      </c>
      <c r="AO75" s="40">
        <f>AO33</f>
        <v>6.5008423326738951E-2</v>
      </c>
      <c r="AP75" s="1">
        <f>AO34</f>
        <v>-0.35179014626570021</v>
      </c>
      <c r="AQ75" s="35">
        <f>AP33</f>
        <v>-0.23100234382761931</v>
      </c>
      <c r="AR75" s="43">
        <f>AP34</f>
        <v>0.22431366366165251</v>
      </c>
      <c r="AS75" s="35">
        <f>AQ33</f>
        <v>-8.523231324148739E-2</v>
      </c>
      <c r="AT75" s="49">
        <f>AQ34</f>
        <v>7.1822601008177827E-5</v>
      </c>
    </row>
    <row r="76" spans="1:46" x14ac:dyDescent="0.35">
      <c r="A76" t="s">
        <v>137</v>
      </c>
      <c r="L76" t="str">
        <f>L74</f>
        <v>GeometryColor</v>
      </c>
      <c r="M76" t="str">
        <f>M74</f>
        <v>Chart1</v>
      </c>
      <c r="N76" t="s">
        <v>7</v>
      </c>
      <c r="O76" t="s">
        <v>11</v>
      </c>
      <c r="P76" t="s">
        <v>9</v>
      </c>
      <c r="Q76" s="1">
        <f ca="1">I68</f>
        <v>18</v>
      </c>
      <c r="S76" t="str" cm="1">
        <f t="array" aca="1" ref="S76" ca="1">setChartAxis(L76,M76,N76,O76,P76,Q76)</f>
        <v>Y Primary Min: 18</v>
      </c>
      <c r="X76" s="101"/>
      <c r="Y76" s="41" t="s">
        <v>28</v>
      </c>
      <c r="Z76" s="38">
        <f>AS31</f>
        <v>7.9645478398492706</v>
      </c>
      <c r="AA76" s="42">
        <f>AS32</f>
        <v>-7.7798400087888462</v>
      </c>
      <c r="AB76" s="38">
        <f>AT31</f>
        <v>2.8505806804747991</v>
      </c>
      <c r="AC76" s="39">
        <f>AT32</f>
        <v>-6.1335660466379949</v>
      </c>
      <c r="AD76" s="83">
        <f>AU31</f>
        <v>8.2214148774379936E-3</v>
      </c>
      <c r="AE76" s="74">
        <f>AU32</f>
        <v>-0.19947976416964941</v>
      </c>
      <c r="AF76" s="69">
        <f>AV31</f>
        <v>-0.17296250992567008</v>
      </c>
      <c r="AG76" s="79">
        <f>AV32</f>
        <v>0.22875010871797741</v>
      </c>
      <c r="AH76" s="69">
        <f>AW31</f>
        <v>0.24748426223133935</v>
      </c>
      <c r="AI76" s="86">
        <f>AW32</f>
        <v>-5.0145617037880249E-4</v>
      </c>
      <c r="AK76" s="38">
        <f>AS33</f>
        <v>7.5366731335930179</v>
      </c>
      <c r="AL76" s="42">
        <f>AS34</f>
        <v>-7.3724361475259661</v>
      </c>
      <c r="AM76" s="38">
        <f>AT33</f>
        <v>2.5355119118628209</v>
      </c>
      <c r="AN76" s="39">
        <f>AT34</f>
        <v>-5.4221018165062036</v>
      </c>
      <c r="AO76" s="46">
        <f>AU33</f>
        <v>-0.12595257979478791</v>
      </c>
      <c r="AP76" s="42">
        <f>AU34</f>
        <v>0.19741084554243404</v>
      </c>
      <c r="AQ76" s="38">
        <f>AV33</f>
        <v>-0.37647381236554045</v>
      </c>
      <c r="AR76" s="39">
        <f>AV34</f>
        <v>1.0095664231586676</v>
      </c>
      <c r="AS76" s="38">
        <f>AW33</f>
        <v>7.7981574626176942E-2</v>
      </c>
      <c r="AT76" s="50">
        <f>AW34</f>
        <v>-1.3788357211896404E-4</v>
      </c>
    </row>
    <row r="77" spans="1:46" x14ac:dyDescent="0.35">
      <c r="L77" t="str">
        <f>L74</f>
        <v>GeometryColor</v>
      </c>
      <c r="M77" t="str">
        <f>M74</f>
        <v>Chart1</v>
      </c>
      <c r="N77" t="s">
        <v>10</v>
      </c>
      <c r="O77" t="s">
        <v>11</v>
      </c>
      <c r="P77" t="s">
        <v>9</v>
      </c>
      <c r="Q77" s="1">
        <f ca="1">I69</f>
        <v>34.6</v>
      </c>
      <c r="S77" t="str" cm="1">
        <f t="array" aca="1" ref="S77" ca="1">setChartAxis(L77,M77,N77,O77,P77,Q77)</f>
        <v>Y Primary Max: 34,6</v>
      </c>
      <c r="X77" s="100" t="s">
        <v>171</v>
      </c>
      <c r="Y77" s="25" t="s">
        <v>36</v>
      </c>
      <c r="Z77" s="35">
        <f>AY31</f>
        <v>-0.10075371503158714</v>
      </c>
      <c r="AA77" s="1">
        <f>AY32</f>
        <v>0.21715578903505378</v>
      </c>
      <c r="AB77" s="35">
        <f>AZ31</f>
        <v>2.6613220140514038E-2</v>
      </c>
      <c r="AC77" s="43">
        <f>AZ32</f>
        <v>-0.12852048567620511</v>
      </c>
      <c r="AD77" s="82">
        <f>BA31</f>
        <v>-0.27183074457707657</v>
      </c>
      <c r="AE77" s="72">
        <f>BA32</f>
        <v>0.38501156471596182</v>
      </c>
      <c r="AF77" s="68">
        <f>BB31</f>
        <v>-0.20943708948836404</v>
      </c>
      <c r="AG77" s="77">
        <f>BB32</f>
        <v>0.29355763059188705</v>
      </c>
      <c r="AH77" s="68">
        <f>BC31</f>
        <v>0.20287602408817973</v>
      </c>
      <c r="AI77" s="88">
        <f>BC32</f>
        <v>-4.5739209322122923E-4</v>
      </c>
      <c r="AK77" s="35">
        <f>AY33</f>
        <v>5.0996476820207137E-2</v>
      </c>
      <c r="AL77" s="1">
        <f>AY34</f>
        <v>-0.19625978984336648</v>
      </c>
      <c r="AM77" s="35">
        <f>AZ33</f>
        <v>0.19969159725165908</v>
      </c>
      <c r="AN77" s="43">
        <f>AZ34</f>
        <v>-0.6747610964266636</v>
      </c>
      <c r="AO77" s="40">
        <f>BA33</f>
        <v>-0.40319573358370764</v>
      </c>
      <c r="AP77" s="1">
        <f>BA34</f>
        <v>0.70876699230071727</v>
      </c>
      <c r="AQ77" s="35">
        <f>BB33</f>
        <v>-0.50022153796727831</v>
      </c>
      <c r="AR77" s="43">
        <f>BB34</f>
        <v>0.98209349285284431</v>
      </c>
      <c r="AS77" s="35">
        <f>BC33</f>
        <v>0.21203046749447196</v>
      </c>
      <c r="AT77" s="49">
        <f>BC34</f>
        <v>-4.7374013861303267E-4</v>
      </c>
    </row>
    <row r="78" spans="1:46" x14ac:dyDescent="0.35">
      <c r="X78" s="100"/>
      <c r="Y78" s="25" t="s">
        <v>32</v>
      </c>
      <c r="Z78" s="35">
        <f>BE31</f>
        <v>-0.30234113048372102</v>
      </c>
      <c r="AA78" s="1">
        <f>BE32</f>
        <v>1.751725536630317</v>
      </c>
      <c r="AB78" s="35">
        <f>BF31</f>
        <v>-0.4462137979179378</v>
      </c>
      <c r="AC78" s="43">
        <f>BF32</f>
        <v>2.3994912438763012</v>
      </c>
      <c r="AD78" s="82">
        <f>BG31</f>
        <v>-0.16282429645695029</v>
      </c>
      <c r="AE78" s="72">
        <f>BG32</f>
        <v>0.17552150872056296</v>
      </c>
      <c r="AF78" s="68">
        <f>BH31</f>
        <v>-0.27042686889843814</v>
      </c>
      <c r="AG78" s="77">
        <f>BH32</f>
        <v>0.28754292314122182</v>
      </c>
      <c r="AH78" s="68">
        <f>BI31</f>
        <v>-0.21569522879183989</v>
      </c>
      <c r="AI78" s="88">
        <f>BI32</f>
        <v>9.3676232111940868E-4</v>
      </c>
      <c r="AK78" s="35">
        <f>BE33</f>
        <v>-0.19082870996650814</v>
      </c>
      <c r="AL78" s="1">
        <f>BE34</f>
        <v>1.3467166601254219</v>
      </c>
      <c r="AM78" s="35">
        <f>BF33</f>
        <v>-0.36100185153583597</v>
      </c>
      <c r="AN78" s="43">
        <f>BF34</f>
        <v>2.0233391241218057</v>
      </c>
      <c r="AO78" s="40">
        <f>BG33</f>
        <v>-0.39015658411660081</v>
      </c>
      <c r="AP78" s="1">
        <f>BG34</f>
        <v>0.55459107369159555</v>
      </c>
      <c r="AQ78" s="35">
        <f>BH33</f>
        <v>-0.52153414184383728</v>
      </c>
      <c r="AR78" s="43">
        <f>BH34</f>
        <v>0.76906377258269842</v>
      </c>
      <c r="AS78" s="35">
        <f>BI33</f>
        <v>-0.24241186995873187</v>
      </c>
      <c r="AT78" s="49">
        <f>BI34</f>
        <v>1.1355028875491252E-3</v>
      </c>
    </row>
    <row r="79" spans="1:46" x14ac:dyDescent="0.35">
      <c r="X79" s="100"/>
      <c r="Y79" s="25" t="s">
        <v>33</v>
      </c>
      <c r="Z79" s="35">
        <f>BK31</f>
        <v>-0.24778595729324759</v>
      </c>
      <c r="AA79" s="1">
        <f>BK32</f>
        <v>1.1770801084280986</v>
      </c>
      <c r="AB79" s="35">
        <f>BL31</f>
        <v>-0.59394296890528087</v>
      </c>
      <c r="AC79" s="43">
        <f>BL32</f>
        <v>2.9230137945489152</v>
      </c>
      <c r="AD79" s="82">
        <f>BM31</f>
        <v>0.4442032010490844</v>
      </c>
      <c r="AE79" s="72">
        <f>BM32</f>
        <v>-0.57295291839756979</v>
      </c>
      <c r="AF79" s="68">
        <f>BN31</f>
        <v>0.64943209249177136</v>
      </c>
      <c r="AG79" s="77">
        <f>BN32</f>
        <v>-0.58054830762263321</v>
      </c>
      <c r="AH79" s="68">
        <f>BO31</f>
        <v>8.1243911233912947E-2</v>
      </c>
      <c r="AI79" s="88">
        <f>BO32</f>
        <v>-2.02892682248284E-4</v>
      </c>
      <c r="AK79" s="35">
        <f>BK33</f>
        <v>-0.24711438891396109</v>
      </c>
      <c r="AL79" s="1">
        <f>BK34</f>
        <v>0.97969064084751156</v>
      </c>
      <c r="AM79" s="35">
        <f>BL33</f>
        <v>-0.61336755852505331</v>
      </c>
      <c r="AN79" s="43">
        <f>BL34</f>
        <v>2.6527282745241703</v>
      </c>
      <c r="AO79" s="40">
        <f>BM33</f>
        <v>9.6367669597930306E-2</v>
      </c>
      <c r="AP79" s="1">
        <f>BM34</f>
        <v>-0.22547674782434382</v>
      </c>
      <c r="AQ79" s="35">
        <f>BN33</f>
        <v>-3.0365408535331984E-2</v>
      </c>
      <c r="AR79" s="43">
        <f>BN34</f>
        <v>0.11142981031674788</v>
      </c>
      <c r="AS79" s="35">
        <f>BO33</f>
        <v>0.1167847752749458</v>
      </c>
      <c r="AT79" s="49">
        <f>BO34</f>
        <v>-4.0782492391744455E-4</v>
      </c>
    </row>
    <row r="80" spans="1:46" x14ac:dyDescent="0.35">
      <c r="X80" s="101"/>
      <c r="Y80" s="41" t="s">
        <v>34</v>
      </c>
      <c r="Z80" s="38">
        <f>BQ31</f>
        <v>0.91817406130596635</v>
      </c>
      <c r="AA80" s="42">
        <f>BQ32</f>
        <v>-3.1187263420016431</v>
      </c>
      <c r="AB80" s="38">
        <f>BR31</f>
        <v>0.22051414315266538</v>
      </c>
      <c r="AC80" s="39">
        <f>BR32</f>
        <v>-2.6049214688175346</v>
      </c>
      <c r="AD80" s="83">
        <f>BS31</f>
        <v>0.28535139189949543</v>
      </c>
      <c r="AE80" s="74">
        <f>BA32</f>
        <v>0.38501156471596182</v>
      </c>
      <c r="AF80" s="69">
        <f>BT31</f>
        <v>0.12600106912683029</v>
      </c>
      <c r="AG80" s="79">
        <f>BT32</f>
        <v>-0.47377528844688793</v>
      </c>
      <c r="AH80" s="69">
        <f>BU31</f>
        <v>2.9206494464906863E-2</v>
      </c>
      <c r="AI80" s="86">
        <f>BU32</f>
        <v>-2.9677117637249249E-4</v>
      </c>
      <c r="AK80" s="38">
        <f>BQ33</f>
        <v>0.75606636259421656</v>
      </c>
      <c r="AL80" s="42">
        <f>BQ34</f>
        <v>-2.6924885750993095</v>
      </c>
      <c r="AM80" s="38">
        <f>BR33</f>
        <v>7.5338759247929099E-2</v>
      </c>
      <c r="AN80" s="39">
        <f>BR34</f>
        <v>-2.2633446606413434</v>
      </c>
      <c r="AO80" s="46">
        <f>BS33</f>
        <v>0.24362081892283771</v>
      </c>
      <c r="AP80" s="42">
        <f>BA34</f>
        <v>0.70876699230071727</v>
      </c>
      <c r="AQ80" s="38">
        <f>BT33</f>
        <v>-0.16988808729673499</v>
      </c>
      <c r="AR80" s="39">
        <f>BT34</f>
        <v>0.11929620953791602</v>
      </c>
      <c r="AS80" s="38">
        <f>BU33</f>
        <v>0.12481955221735808</v>
      </c>
      <c r="AT80" s="50">
        <f>BU34</f>
        <v>-4.4775792878011035E-4</v>
      </c>
    </row>
    <row r="81" spans="24:46" x14ac:dyDescent="0.35">
      <c r="Y81" s="26" t="s">
        <v>145</v>
      </c>
      <c r="Z81" s="38">
        <f t="shared" ref="Z81:AI81" si="24">AVERAGE(Z69:Z72)</f>
        <v>-0.47842400171298305</v>
      </c>
      <c r="AA81" s="42">
        <f t="shared" si="24"/>
        <v>2.9198390335458115</v>
      </c>
      <c r="AB81" s="38">
        <f t="shared" si="24"/>
        <v>-0.46071961099086289</v>
      </c>
      <c r="AC81" s="42">
        <f t="shared" si="24"/>
        <v>3.3532234935938248</v>
      </c>
      <c r="AD81" s="69">
        <f t="shared" si="24"/>
        <v>0.7468012786104723</v>
      </c>
      <c r="AE81" s="74">
        <f t="shared" si="24"/>
        <v>-1.9235155051877153</v>
      </c>
      <c r="AF81" s="69">
        <f t="shared" si="24"/>
        <v>0.73073826606991288</v>
      </c>
      <c r="AG81" s="74">
        <f t="shared" si="24"/>
        <v>-1.7220845870396917</v>
      </c>
      <c r="AH81" s="69">
        <f t="shared" si="24"/>
        <v>8.8647438488768576E-2</v>
      </c>
      <c r="AI81" s="89">
        <f t="shared" si="24"/>
        <v>-1.0510744893683875E-3</v>
      </c>
      <c r="AK81" s="38">
        <f t="shared" ref="AK81:AT81" si="25">AVERAGE(AK69:AK72)</f>
        <v>-0.4729767286271761</v>
      </c>
      <c r="AL81" s="42">
        <f t="shared" si="25"/>
        <v>2.7623550901720386</v>
      </c>
      <c r="AM81" s="38">
        <f t="shared" si="25"/>
        <v>-0.45532714299038812</v>
      </c>
      <c r="AN81" s="42">
        <f t="shared" si="25"/>
        <v>3.1943207941946836</v>
      </c>
      <c r="AO81" s="38">
        <f t="shared" si="25"/>
        <v>0.44929006490995244</v>
      </c>
      <c r="AP81" s="42">
        <f t="shared" si="25"/>
        <v>-1.3265304139299954</v>
      </c>
      <c r="AQ81" s="38">
        <f t="shared" si="25"/>
        <v>0.23202466691263768</v>
      </c>
      <c r="AR81" s="42">
        <f t="shared" si="25"/>
        <v>-0.65398348205989587</v>
      </c>
      <c r="AS81" s="38">
        <f t="shared" si="25"/>
        <v>7.503774020674131E-2</v>
      </c>
      <c r="AT81" s="42">
        <f t="shared" si="25"/>
        <v>-1.0222952516516892E-3</v>
      </c>
    </row>
    <row r="82" spans="24:46" x14ac:dyDescent="0.35">
      <c r="Y82" s="26" t="s">
        <v>146</v>
      </c>
      <c r="Z82" s="38">
        <f t="shared" ref="Z82:AI82" si="26">AVERAGE(Z73:Z76)</f>
        <v>2.0772788212160957</v>
      </c>
      <c r="AA82" s="42">
        <f t="shared" si="26"/>
        <v>-2.2500153504459384</v>
      </c>
      <c r="AB82" s="38">
        <f t="shared" si="26"/>
        <v>0.71123913962512419</v>
      </c>
      <c r="AC82" s="42">
        <f t="shared" si="26"/>
        <v>-1.3274743158747424</v>
      </c>
      <c r="AD82" s="69">
        <f t="shared" si="26"/>
        <v>0.57594760286060043</v>
      </c>
      <c r="AE82" s="74">
        <f t="shared" si="26"/>
        <v>-0.92365163043188114</v>
      </c>
      <c r="AF82" s="69">
        <f t="shared" si="26"/>
        <v>0.45230704530511379</v>
      </c>
      <c r="AG82" s="74">
        <f t="shared" si="26"/>
        <v>-0.6866302207896906</v>
      </c>
      <c r="AH82" s="69">
        <f t="shared" si="26"/>
        <v>8.570303262564713E-2</v>
      </c>
      <c r="AI82" s="89">
        <f t="shared" si="26"/>
        <v>-2.1287818108015641E-4</v>
      </c>
      <c r="AK82" s="38">
        <f t="shared" ref="AK82:AT82" si="27">AVERAGE(AK73:AK76)</f>
        <v>1.9036984023100689</v>
      </c>
      <c r="AL82" s="42">
        <f t="shared" si="27"/>
        <v>-1.9165554147605746</v>
      </c>
      <c r="AM82" s="38">
        <f t="shared" si="27"/>
        <v>0.56022015545482051</v>
      </c>
      <c r="AN82" s="42">
        <f t="shared" si="27"/>
        <v>-0.82239079025545414</v>
      </c>
      <c r="AO82" s="38">
        <f t="shared" si="27"/>
        <v>0.30634914019735127</v>
      </c>
      <c r="AP82" s="42">
        <f t="shared" si="27"/>
        <v>-0.57099153436638617</v>
      </c>
      <c r="AQ82" s="38">
        <f t="shared" si="27"/>
        <v>9.954382992524019E-3</v>
      </c>
      <c r="AR82" s="42">
        <f t="shared" si="27"/>
        <v>8.456991290420332E-2</v>
      </c>
      <c r="AS82" s="38">
        <f t="shared" si="27"/>
        <v>4.0940272071996492E-2</v>
      </c>
      <c r="AT82" s="42">
        <f t="shared" si="27"/>
        <v>-1.0042737656201409E-4</v>
      </c>
    </row>
    <row r="83" spans="24:46" x14ac:dyDescent="0.35">
      <c r="Y83" s="26" t="s">
        <v>147</v>
      </c>
      <c r="Z83" s="38">
        <f t="shared" ref="Z83:AI83" si="28">AVERAGE(Z77:Z80)</f>
        <v>6.6823314624352648E-2</v>
      </c>
      <c r="AA83" s="42">
        <f t="shared" si="28"/>
        <v>6.8087730229565713E-3</v>
      </c>
      <c r="AB83" s="38">
        <f t="shared" si="28"/>
        <v>-0.19825735088250984</v>
      </c>
      <c r="AC83" s="42">
        <f t="shared" si="28"/>
        <v>0.64726577098286919</v>
      </c>
      <c r="AD83" s="69">
        <f t="shared" si="28"/>
        <v>7.3724887978638243E-2</v>
      </c>
      <c r="AE83" s="74">
        <f t="shared" si="28"/>
        <v>9.314792993872921E-2</v>
      </c>
      <c r="AF83" s="69">
        <f t="shared" si="28"/>
        <v>7.3892300807949868E-2</v>
      </c>
      <c r="AG83" s="74">
        <f t="shared" si="28"/>
        <v>-0.11830576058410307</v>
      </c>
      <c r="AH83" s="69">
        <f t="shared" si="28"/>
        <v>2.4407800248789913E-2</v>
      </c>
      <c r="AI83" s="89">
        <f t="shared" si="28"/>
        <v>-5.0734076806492595E-6</v>
      </c>
      <c r="AK83" s="38">
        <f t="shared" ref="AK83:AT83" si="29">AVERAGE(AK77:AK80)</f>
        <v>9.2279935133488616E-2</v>
      </c>
      <c r="AL83" s="42">
        <f t="shared" si="29"/>
        <v>-0.14058526599243559</v>
      </c>
      <c r="AM83" s="38">
        <f t="shared" si="29"/>
        <v>-0.17483476339032528</v>
      </c>
      <c r="AN83" s="42">
        <f t="shared" si="29"/>
        <v>0.43449041039449221</v>
      </c>
      <c r="AO83" s="38">
        <f t="shared" si="29"/>
        <v>-0.11334095729488511</v>
      </c>
      <c r="AP83" s="42">
        <f t="shared" si="29"/>
        <v>0.43666207761717157</v>
      </c>
      <c r="AQ83" s="38">
        <f t="shared" si="29"/>
        <v>-0.30550229391079564</v>
      </c>
      <c r="AR83" s="42">
        <f t="shared" si="29"/>
        <v>0.49547082132255166</v>
      </c>
      <c r="AS83" s="38">
        <f t="shared" si="29"/>
        <v>5.280573125701099E-2</v>
      </c>
      <c r="AT83" s="42">
        <f t="shared" si="29"/>
        <v>-4.8455025940365601E-5</v>
      </c>
    </row>
    <row r="85" spans="24:46" x14ac:dyDescent="0.35">
      <c r="Y85" t="s">
        <v>174</v>
      </c>
    </row>
    <row r="87" spans="24:46" x14ac:dyDescent="0.35">
      <c r="Z87" s="93" t="str">
        <f>A36</f>
        <v>JPEG PCC VM v4.1 (VVC)</v>
      </c>
      <c r="AA87" s="94"/>
      <c r="AB87" s="94"/>
      <c r="AC87" s="94"/>
      <c r="AD87" s="94"/>
      <c r="AE87" s="94"/>
      <c r="AF87" s="94"/>
      <c r="AG87" s="94"/>
      <c r="AH87" s="94"/>
      <c r="AI87" s="95"/>
    </row>
    <row r="88" spans="24:46" x14ac:dyDescent="0.35">
      <c r="Z88" s="102" t="s">
        <v>148</v>
      </c>
      <c r="AA88" s="103"/>
      <c r="AB88" s="90" t="s">
        <v>149</v>
      </c>
      <c r="AC88" s="92"/>
      <c r="AD88" s="103" t="s">
        <v>150</v>
      </c>
      <c r="AE88" s="103"/>
      <c r="AF88" s="90" t="s">
        <v>151</v>
      </c>
      <c r="AG88" s="92"/>
      <c r="AH88" s="103" t="s">
        <v>144</v>
      </c>
      <c r="AI88" s="104"/>
    </row>
    <row r="89" spans="24:46" x14ac:dyDescent="0.35">
      <c r="X89" s="59" t="s">
        <v>168</v>
      </c>
      <c r="Y89" s="28" t="s">
        <v>140</v>
      </c>
      <c r="Z89" s="29" t="s">
        <v>17</v>
      </c>
      <c r="AA89" s="21" t="s">
        <v>18</v>
      </c>
      <c r="AB89" s="29" t="s">
        <v>17</v>
      </c>
      <c r="AC89" s="22" t="s">
        <v>18</v>
      </c>
      <c r="AD89" s="21" t="s">
        <v>17</v>
      </c>
      <c r="AE89" s="21" t="s">
        <v>18</v>
      </c>
      <c r="AF89" s="29" t="s">
        <v>17</v>
      </c>
      <c r="AG89" s="22" t="s">
        <v>18</v>
      </c>
      <c r="AH89" s="21" t="s">
        <v>17</v>
      </c>
      <c r="AI89" s="22" t="s">
        <v>18</v>
      </c>
    </row>
    <row r="90" spans="24:46" x14ac:dyDescent="0.35">
      <c r="X90" s="99" t="s">
        <v>169</v>
      </c>
      <c r="Y90" s="30" t="s">
        <v>133</v>
      </c>
      <c r="Z90" s="31">
        <f>C36</f>
        <v>-0.11910372813873082</v>
      </c>
      <c r="AA90" s="34">
        <f>C37</f>
        <v>0.53888356113748559</v>
      </c>
      <c r="AB90" s="31">
        <f>D36</f>
        <v>-0.12075343614099221</v>
      </c>
      <c r="AC90" s="32">
        <f>D37</f>
        <v>0.62219486850441186</v>
      </c>
      <c r="AD90" s="81">
        <f>E36</f>
        <v>-0.22352017113764211</v>
      </c>
      <c r="AE90" s="70">
        <f>E37</f>
        <v>0.68549202235075868</v>
      </c>
      <c r="AF90" s="67">
        <f>F36</f>
        <v>-0.31221667036760548</v>
      </c>
      <c r="AG90" s="75">
        <f>F37</f>
        <v>0.94484422242357791</v>
      </c>
      <c r="AH90" s="67">
        <f>G36</f>
        <v>-5.7859024452301178E-2</v>
      </c>
      <c r="AI90" s="84">
        <f>G37</f>
        <v>5.4673159551397348E-4</v>
      </c>
    </row>
    <row r="91" spans="24:46" x14ac:dyDescent="0.35">
      <c r="X91" s="100"/>
      <c r="Y91" s="25" t="s">
        <v>134</v>
      </c>
      <c r="Z91" s="35">
        <f>I36</f>
        <v>0.12621689471891862</v>
      </c>
      <c r="AA91" s="37">
        <f>I37</f>
        <v>-0.39488567380381795</v>
      </c>
      <c r="AB91" s="35">
        <f>J36</f>
        <v>0.11951336942306168</v>
      </c>
      <c r="AC91" s="36">
        <f>J37</f>
        <v>-0.43079283511948063</v>
      </c>
      <c r="AD91" s="82">
        <f>K36</f>
        <v>-0.21172704058650138</v>
      </c>
      <c r="AE91" s="71">
        <f>K37</f>
        <v>0.57192831623959806</v>
      </c>
      <c r="AF91" s="68">
        <f>L36</f>
        <v>-0.34854662761940503</v>
      </c>
      <c r="AG91" s="76">
        <f>L37</f>
        <v>1.0149189791481019</v>
      </c>
      <c r="AH91" s="68">
        <f>M36</f>
        <v>-5.085430776200428E-2</v>
      </c>
      <c r="AI91" s="85">
        <f>M37</f>
        <v>1.7577939416575314E-4</v>
      </c>
    </row>
    <row r="92" spans="24:46" x14ac:dyDescent="0.35">
      <c r="X92" s="100"/>
      <c r="Y92" s="25" t="s">
        <v>19</v>
      </c>
      <c r="Z92" s="35">
        <f>O36</f>
        <v>1.3251693954155375E-2</v>
      </c>
      <c r="AA92" s="37">
        <f>O37</f>
        <v>-0.13567017702185258</v>
      </c>
      <c r="AB92" s="35">
        <f>P36</f>
        <v>1.4559118385627512E-2</v>
      </c>
      <c r="AC92" s="36">
        <f>P37</f>
        <v>-0.16574850458107174</v>
      </c>
      <c r="AD92" s="82">
        <f>Q36</f>
        <v>-0.11844354907786803</v>
      </c>
      <c r="AE92" s="71">
        <f>Q37</f>
        <v>0.53774685616940621</v>
      </c>
      <c r="AF92" s="68">
        <f>R36</f>
        <v>-0.20629818874436634</v>
      </c>
      <c r="AG92" s="76">
        <f>R37</f>
        <v>0.90515810689997656</v>
      </c>
      <c r="AH92" s="68">
        <f>S36</f>
        <v>3.6302712183501562E-2</v>
      </c>
      <c r="AI92" s="85">
        <f>S37</f>
        <v>-2.0256220916426386E-4</v>
      </c>
    </row>
    <row r="93" spans="24:46" x14ac:dyDescent="0.35">
      <c r="X93" s="101"/>
      <c r="Y93" s="41" t="s">
        <v>21</v>
      </c>
      <c r="Z93" s="35">
        <f>U36</f>
        <v>0.13349063844418985</v>
      </c>
      <c r="AA93" s="1">
        <f>U37</f>
        <v>-0.42228067893479426</v>
      </c>
      <c r="AB93" s="35">
        <f>V36</f>
        <v>0.13203079053776845</v>
      </c>
      <c r="AC93" s="43">
        <f>V37</f>
        <v>-0.5400976883798716</v>
      </c>
      <c r="AD93" s="83">
        <f>W36</f>
        <v>-8.3517812838624916E-2</v>
      </c>
      <c r="AE93" s="74">
        <f>W37</f>
        <v>0.40738617269406657</v>
      </c>
      <c r="AF93" s="69">
        <f>X36</f>
        <v>-0.2496913909318903</v>
      </c>
      <c r="AG93" s="79">
        <f>X37</f>
        <v>1.2883544735898707</v>
      </c>
      <c r="AH93" s="69">
        <f>Y36</f>
        <v>5.5278498989160818E-2</v>
      </c>
      <c r="AI93" s="86">
        <f>Y37</f>
        <v>-8.3719542219089387E-5</v>
      </c>
    </row>
    <row r="94" spans="24:46" x14ac:dyDescent="0.35">
      <c r="X94" s="99" t="s">
        <v>170</v>
      </c>
      <c r="Y94" s="30" t="s">
        <v>20</v>
      </c>
      <c r="Z94" s="31">
        <f>AA36</f>
        <v>-8.7846296838193005E-2</v>
      </c>
      <c r="AA94" s="60">
        <f>AA37</f>
        <v>0.1280867318210796</v>
      </c>
      <c r="AB94" s="31">
        <f>AB36</f>
        <v>-8.3134232124217999E-2</v>
      </c>
      <c r="AC94" s="61">
        <f>AB37</f>
        <v>0.26378983609422391</v>
      </c>
      <c r="AD94" s="81">
        <f>AC36</f>
        <v>-7.9412825030279466E-2</v>
      </c>
      <c r="AE94" s="73">
        <f>AC37</f>
        <v>1.771293552708474E-2</v>
      </c>
      <c r="AF94" s="67">
        <f>AD36</f>
        <v>-0.32676335762814235</v>
      </c>
      <c r="AG94" s="78">
        <f>AD37</f>
        <v>0.64770376765699689</v>
      </c>
      <c r="AH94" s="67">
        <f>AE36</f>
        <v>6.0332710762965203E-2</v>
      </c>
      <c r="AI94" s="87">
        <f>AE37</f>
        <v>-1.3955461641616831E-4</v>
      </c>
    </row>
    <row r="95" spans="24:46" x14ac:dyDescent="0.35">
      <c r="X95" s="100"/>
      <c r="Y95" s="25" t="s">
        <v>29</v>
      </c>
      <c r="Z95" s="35">
        <f>AG36</f>
        <v>5.2013210769152884E-4</v>
      </c>
      <c r="AA95" s="1">
        <f>AG37</f>
        <v>3.1341953735326694E-3</v>
      </c>
      <c r="AB95" s="35">
        <f>AH36</f>
        <v>-5.9850869360500436E-3</v>
      </c>
      <c r="AC95" s="43">
        <f>AH37</f>
        <v>2.0608048835286632E-2</v>
      </c>
      <c r="AD95" s="82">
        <f>AI36</f>
        <v>-0.16443649591699994</v>
      </c>
      <c r="AE95" s="72">
        <f>AI37</f>
        <v>0.33920504234065313</v>
      </c>
      <c r="AF95" s="68">
        <f>AJ36</f>
        <v>-0.32077547863439271</v>
      </c>
      <c r="AG95" s="77">
        <f>AJ37</f>
        <v>0.60836264320726519</v>
      </c>
      <c r="AH95" s="68">
        <f>AK36</f>
        <v>0.13603888840555411</v>
      </c>
      <c r="AI95" s="88">
        <f>AK37</f>
        <v>-2.8741608411355122E-4</v>
      </c>
    </row>
    <row r="96" spans="24:46" x14ac:dyDescent="0.35">
      <c r="X96" s="100"/>
      <c r="Y96" s="25" t="s">
        <v>31</v>
      </c>
      <c r="Z96" s="35">
        <f>AM36</f>
        <v>-0.19011618020341647</v>
      </c>
      <c r="AA96" s="1">
        <f>AM37</f>
        <v>0.84280232730196902</v>
      </c>
      <c r="AB96" s="35">
        <f>AN36</f>
        <v>-0.18675705136507859</v>
      </c>
      <c r="AC96" s="43">
        <f>AN37</f>
        <v>1.1076674965613318</v>
      </c>
      <c r="AD96" s="82">
        <f>AO36</f>
        <v>-0.296830802545761</v>
      </c>
      <c r="AE96" s="72">
        <f>AO37</f>
        <v>0.47216704931981934</v>
      </c>
      <c r="AF96" s="68">
        <f>AP36</f>
        <v>-0.44252048591999482</v>
      </c>
      <c r="AG96" s="77">
        <f>AP37</f>
        <v>0.83592778149641633</v>
      </c>
      <c r="AH96" s="68">
        <f>AQ36</f>
        <v>-0.13517390009680463</v>
      </c>
      <c r="AI96" s="88">
        <f>AQ37</f>
        <v>3.5996175793931884E-4</v>
      </c>
    </row>
    <row r="97" spans="24:35" x14ac:dyDescent="0.35">
      <c r="X97" s="101"/>
      <c r="Y97" s="41" t="s">
        <v>28</v>
      </c>
      <c r="Z97" s="38">
        <f>AS36</f>
        <v>-0.10079540880211546</v>
      </c>
      <c r="AA97" s="42">
        <f>AS37</f>
        <v>0.36649992441452595</v>
      </c>
      <c r="AB97" s="38">
        <f>AT36</f>
        <v>-0.1102811427243594</v>
      </c>
      <c r="AC97" s="39">
        <f>AT37</f>
        <v>0.42792734412079608</v>
      </c>
      <c r="AD97" s="83">
        <f>AU36</f>
        <v>-0.13810164738515829</v>
      </c>
      <c r="AE97" s="74">
        <f>AU37</f>
        <v>0.25702867591317902</v>
      </c>
      <c r="AF97" s="69">
        <f>AV36</f>
        <v>-0.29573806250287449</v>
      </c>
      <c r="AG97" s="79">
        <f>AV37</f>
        <v>0.65678289301279591</v>
      </c>
      <c r="AH97" s="69">
        <f>AW36</f>
        <v>-9.6851713950542595E-2</v>
      </c>
      <c r="AI97" s="86">
        <f>AW37</f>
        <v>1.5277467653059215E-4</v>
      </c>
    </row>
    <row r="98" spans="24:35" x14ac:dyDescent="0.35">
      <c r="X98" s="100" t="s">
        <v>171</v>
      </c>
      <c r="Y98" s="25" t="s">
        <v>36</v>
      </c>
      <c r="Z98" s="35">
        <f>AY36</f>
        <v>0.12662305138033303</v>
      </c>
      <c r="AA98" s="1">
        <f>AY37</f>
        <v>-0.32988415514523678</v>
      </c>
      <c r="AB98" s="35">
        <f>AZ36</f>
        <v>0.12910193656455671</v>
      </c>
      <c r="AC98" s="43">
        <f>AZ37</f>
        <v>-0.45677058225483125</v>
      </c>
      <c r="AD98" s="82">
        <f>BA36</f>
        <v>-0.19511713118062812</v>
      </c>
      <c r="AE98" s="72">
        <f>BA37</f>
        <v>0.30815828223133174</v>
      </c>
      <c r="AF98" s="68">
        <f>BB36</f>
        <v>-0.38295443303753685</v>
      </c>
      <c r="AG98" s="77">
        <f>BB37</f>
        <v>0.66223276326320979</v>
      </c>
      <c r="AH98" s="68">
        <f>BC36</f>
        <v>-1.1842850746282663E-2</v>
      </c>
      <c r="AI98" s="88">
        <f>BC37</f>
        <v>1.9422419014128429E-5</v>
      </c>
    </row>
    <row r="99" spans="24:35" x14ac:dyDescent="0.35">
      <c r="X99" s="100"/>
      <c r="Y99" s="25" t="s">
        <v>32</v>
      </c>
      <c r="Z99" s="35">
        <f>BE36</f>
        <v>6.4544409107267109E-2</v>
      </c>
      <c r="AA99" s="1">
        <f>BE37</f>
        <v>-0.30175635503160803</v>
      </c>
      <c r="AB99" s="35">
        <f>BF36</f>
        <v>6.6938774409987634E-2</v>
      </c>
      <c r="AC99" s="43">
        <f>BF37</f>
        <v>-0.32730983803243752</v>
      </c>
      <c r="AD99" s="82">
        <f>BG36</f>
        <v>-0.28153924395114838</v>
      </c>
      <c r="AE99" s="72">
        <f>BG37</f>
        <v>0.33342691553988724</v>
      </c>
      <c r="AF99" s="68">
        <f>BH36</f>
        <v>-0.37946311762311136</v>
      </c>
      <c r="AG99" s="77">
        <f>BH37</f>
        <v>0.43812002924924903</v>
      </c>
      <c r="AH99" s="68">
        <f>BI36</f>
        <v>-3.2202684695002537E-2</v>
      </c>
      <c r="AI99" s="88">
        <f>BI37</f>
        <v>1.0174057378558515E-4</v>
      </c>
    </row>
    <row r="100" spans="24:35" x14ac:dyDescent="0.35">
      <c r="X100" s="100"/>
      <c r="Y100" s="25" t="s">
        <v>33</v>
      </c>
      <c r="Z100" s="35">
        <f>BK36</f>
        <v>1.1091548296384479E-2</v>
      </c>
      <c r="AA100" s="1">
        <f>BK37</f>
        <v>-0.14176966670076407</v>
      </c>
      <c r="AB100" s="35">
        <f>BL36</f>
        <v>1.1005278346462477E-2</v>
      </c>
      <c r="AC100" s="43">
        <f>BL37</f>
        <v>-0.18106574867299394</v>
      </c>
      <c r="AD100" s="82">
        <f>BM36</f>
        <v>-0.23991707689632547</v>
      </c>
      <c r="AE100" s="72">
        <f>BM37</f>
        <v>0.30325389509820916</v>
      </c>
      <c r="AF100" s="68">
        <f>BN36</f>
        <v>-0.43286819386895992</v>
      </c>
      <c r="AG100" s="77">
        <f>BN37</f>
        <v>0.66036921557724648</v>
      </c>
      <c r="AH100" s="68">
        <f>BO36</f>
        <v>7.9554423139834407E-2</v>
      </c>
      <c r="AI100" s="88">
        <f>BO37</f>
        <v>-2.2629797833060357E-4</v>
      </c>
    </row>
    <row r="101" spans="24:35" x14ac:dyDescent="0.35">
      <c r="X101" s="101"/>
      <c r="Y101" s="41" t="s">
        <v>34</v>
      </c>
      <c r="Z101" s="38">
        <f>BQ36</f>
        <v>-0.12455261572756204</v>
      </c>
      <c r="AA101" s="42">
        <f>BQ37</f>
        <v>0.37642639955298912</v>
      </c>
      <c r="AB101" s="38">
        <f>BR36</f>
        <v>-1.636445259211794E-2</v>
      </c>
      <c r="AC101" s="39">
        <f>BR37</f>
        <v>0.21877999047093968</v>
      </c>
      <c r="AD101" s="83">
        <f>BS36</f>
        <v>-2.3212129353910926E-2</v>
      </c>
      <c r="AE101" s="74">
        <f>BA37</f>
        <v>0.30815828223133174</v>
      </c>
      <c r="AF101" s="69">
        <f>BT36</f>
        <v>-0.29283753619097719</v>
      </c>
      <c r="AG101" s="79">
        <f>BT37</f>
        <v>0.57410224908018448</v>
      </c>
      <c r="AH101" s="69">
        <f>BU36</f>
        <v>6.3141430425398548E-2</v>
      </c>
      <c r="AI101" s="86">
        <f>BU37</f>
        <v>-6.8917404203898492E-5</v>
      </c>
    </row>
    <row r="102" spans="24:35" x14ac:dyDescent="0.35">
      <c r="Y102" s="26" t="s">
        <v>145</v>
      </c>
      <c r="Z102" s="38">
        <f t="shared" ref="Z102:AI102" si="30">AVERAGE(Z90:Z93)</f>
        <v>3.8463874744633253E-2</v>
      </c>
      <c r="AA102" s="42">
        <f t="shared" si="30"/>
        <v>-0.1034882421557448</v>
      </c>
      <c r="AB102" s="38">
        <f t="shared" si="30"/>
        <v>3.6337460551366357E-2</v>
      </c>
      <c r="AC102" s="42">
        <f t="shared" si="30"/>
        <v>-0.12861103989400302</v>
      </c>
      <c r="AD102" s="69">
        <f t="shared" si="30"/>
        <v>-0.15930214341015911</v>
      </c>
      <c r="AE102" s="74">
        <f t="shared" si="30"/>
        <v>0.55063834186345739</v>
      </c>
      <c r="AF102" s="69">
        <f t="shared" si="30"/>
        <v>-0.27918821941581679</v>
      </c>
      <c r="AG102" s="74">
        <f t="shared" si="30"/>
        <v>1.0383189455153818</v>
      </c>
      <c r="AH102" s="69">
        <f t="shared" si="30"/>
        <v>-4.2830302604107695E-3</v>
      </c>
      <c r="AI102" s="89">
        <f t="shared" si="30"/>
        <v>1.0905730957409333E-4</v>
      </c>
    </row>
    <row r="103" spans="24:35" x14ac:dyDescent="0.35">
      <c r="Y103" s="26" t="s">
        <v>146</v>
      </c>
      <c r="Z103" s="38">
        <f t="shared" ref="Z103:AI103" si="31">AVERAGE(Z94:Z97)</f>
        <v>-9.4559438434008353E-2</v>
      </c>
      <c r="AA103" s="42">
        <f t="shared" si="31"/>
        <v>0.33513079472777679</v>
      </c>
      <c r="AB103" s="38">
        <f t="shared" si="31"/>
        <v>-9.6539378287426508E-2</v>
      </c>
      <c r="AC103" s="42">
        <f t="shared" si="31"/>
        <v>0.4549981814029096</v>
      </c>
      <c r="AD103" s="69">
        <f t="shared" si="31"/>
        <v>-0.16969544271954967</v>
      </c>
      <c r="AE103" s="74">
        <f t="shared" si="31"/>
        <v>0.27152842577518405</v>
      </c>
      <c r="AF103" s="69">
        <f t="shared" si="31"/>
        <v>-0.34644934617135109</v>
      </c>
      <c r="AG103" s="74">
        <f t="shared" si="31"/>
        <v>0.68719427134336852</v>
      </c>
      <c r="AH103" s="69">
        <f t="shared" si="31"/>
        <v>-8.9135037197069777E-3</v>
      </c>
      <c r="AI103" s="89">
        <f t="shared" si="31"/>
        <v>2.1441433485047859E-5</v>
      </c>
    </row>
    <row r="104" spans="24:35" x14ac:dyDescent="0.35">
      <c r="Y104" s="26" t="s">
        <v>147</v>
      </c>
      <c r="Z104" s="38">
        <f t="shared" ref="Z104:AI104" si="32">AVERAGE(Z98:Z101)</f>
        <v>1.9426598264105643E-2</v>
      </c>
      <c r="AA104" s="42">
        <f t="shared" si="32"/>
        <v>-9.9245944331154926E-2</v>
      </c>
      <c r="AB104" s="38">
        <f t="shared" si="32"/>
        <v>4.767038418222222E-2</v>
      </c>
      <c r="AC104" s="42">
        <f t="shared" si="32"/>
        <v>-0.18659154462233077</v>
      </c>
      <c r="AD104" s="69">
        <f t="shared" si="32"/>
        <v>-0.18494639534550322</v>
      </c>
      <c r="AE104" s="74">
        <f t="shared" si="32"/>
        <v>0.31324934377518998</v>
      </c>
      <c r="AF104" s="69">
        <f t="shared" si="32"/>
        <v>-0.37203082018014633</v>
      </c>
      <c r="AG104" s="74">
        <f t="shared" si="32"/>
        <v>0.5837060642924724</v>
      </c>
      <c r="AH104" s="69">
        <f t="shared" si="32"/>
        <v>2.4662579530986939E-2</v>
      </c>
      <c r="AI104" s="89">
        <f t="shared" si="32"/>
        <v>-4.3513097433697126E-5</v>
      </c>
    </row>
    <row r="127" spans="30:30" x14ac:dyDescent="0.35">
      <c r="AD127" s="1"/>
    </row>
    <row r="128" spans="30:30" x14ac:dyDescent="0.35">
      <c r="AD128" s="1"/>
    </row>
    <row r="153" spans="30:30" x14ac:dyDescent="0.35">
      <c r="AD153" s="1"/>
    </row>
    <row r="154" spans="30:30" x14ac:dyDescent="0.35">
      <c r="AD154" s="1"/>
    </row>
  </sheetData>
  <mergeCells count="68">
    <mergeCell ref="X90:X93"/>
    <mergeCell ref="X94:X97"/>
    <mergeCell ref="X98:X101"/>
    <mergeCell ref="Z87:AI87"/>
    <mergeCell ref="Z88:AA88"/>
    <mergeCell ref="AB88:AC88"/>
    <mergeCell ref="AD88:AE88"/>
    <mergeCell ref="AF88:AG88"/>
    <mergeCell ref="AH88:AI88"/>
    <mergeCell ref="B43:G43"/>
    <mergeCell ref="A3:A6"/>
    <mergeCell ref="A17:A22"/>
    <mergeCell ref="A31:A32"/>
    <mergeCell ref="T1:Y1"/>
    <mergeCell ref="A11:A16"/>
    <mergeCell ref="A33:A34"/>
    <mergeCell ref="A7:A10"/>
    <mergeCell ref="A28:A29"/>
    <mergeCell ref="N1:S1"/>
    <mergeCell ref="B1:G1"/>
    <mergeCell ref="H1:M1"/>
    <mergeCell ref="A26:A27"/>
    <mergeCell ref="A36:A37"/>
    <mergeCell ref="AF1:AK1"/>
    <mergeCell ref="Z1:AE1"/>
    <mergeCell ref="AK45:AT45"/>
    <mergeCell ref="AK46:AL46"/>
    <mergeCell ref="AM46:AN46"/>
    <mergeCell ref="AO46:AP46"/>
    <mergeCell ref="AQ46:AR46"/>
    <mergeCell ref="Z45:AI45"/>
    <mergeCell ref="Z46:AA46"/>
    <mergeCell ref="AB46:AC46"/>
    <mergeCell ref="AD46:AE46"/>
    <mergeCell ref="AF46:AG46"/>
    <mergeCell ref="AH46:AI46"/>
    <mergeCell ref="AR1:AW1"/>
    <mergeCell ref="AS46:AT46"/>
    <mergeCell ref="BV1:CA1"/>
    <mergeCell ref="CB1:CG1"/>
    <mergeCell ref="CH1:CM1"/>
    <mergeCell ref="AX1:BC1"/>
    <mergeCell ref="AL1:AQ1"/>
    <mergeCell ref="BD1:BI1"/>
    <mergeCell ref="BJ1:BO1"/>
    <mergeCell ref="BP1:BU1"/>
    <mergeCell ref="AK66:AT66"/>
    <mergeCell ref="AK67:AL67"/>
    <mergeCell ref="AM67:AN67"/>
    <mergeCell ref="AO67:AP67"/>
    <mergeCell ref="AQ67:AR67"/>
    <mergeCell ref="AS67:AT67"/>
    <mergeCell ref="Z66:AI66"/>
    <mergeCell ref="A59:A64"/>
    <mergeCell ref="A45:A48"/>
    <mergeCell ref="X77:X80"/>
    <mergeCell ref="X48:X51"/>
    <mergeCell ref="X52:X55"/>
    <mergeCell ref="X56:X59"/>
    <mergeCell ref="X69:X72"/>
    <mergeCell ref="X73:X76"/>
    <mergeCell ref="Z67:AA67"/>
    <mergeCell ref="AB67:AC67"/>
    <mergeCell ref="AD67:AE67"/>
    <mergeCell ref="AF67:AG67"/>
    <mergeCell ref="AH67:AI67"/>
    <mergeCell ref="A53:A58"/>
    <mergeCell ref="A49:A52"/>
  </mergeCells>
  <conditionalFormatting sqref="AA60:AA62 AC60:AC62 AE60:AE62 AG60:AG62 AI60:AI62">
    <cfRule type="cellIs" dxfId="223" priority="61" operator="lessThan">
      <formula>0</formula>
    </cfRule>
    <cfRule type="cellIs" dxfId="222" priority="62" operator="greaterThan">
      <formula>0</formula>
    </cfRule>
  </conditionalFormatting>
  <conditionalFormatting sqref="Z60:Z62 AB60:AB62 AD60:AD62 AF60:AF62 AH60:AH62">
    <cfRule type="cellIs" dxfId="221" priority="63" operator="lessThan">
      <formula>0</formula>
    </cfRule>
    <cfRule type="cellIs" dxfId="220" priority="64" operator="greaterThan">
      <formula>0</formula>
    </cfRule>
  </conditionalFormatting>
  <conditionalFormatting sqref="AL60:AL62 AN60:AN62 AP60:AP62 AR60:AR62 AT60:AT62">
    <cfRule type="cellIs" dxfId="219" priority="57" operator="lessThan">
      <formula>0</formula>
    </cfRule>
    <cfRule type="cellIs" dxfId="218" priority="58" operator="greaterThan">
      <formula>0</formula>
    </cfRule>
  </conditionalFormatting>
  <conditionalFormatting sqref="AK60:AK62 AM60:AM62 AO60:AO62 AQ60:AQ62 AS60:AS62">
    <cfRule type="cellIs" dxfId="217" priority="59" operator="lessThan">
      <formula>0</formula>
    </cfRule>
    <cfRule type="cellIs" dxfId="216" priority="60" operator="greaterThan">
      <formula>0</formula>
    </cfRule>
  </conditionalFormatting>
  <conditionalFormatting sqref="AA48:AA59 AC48:AC59 AE48:AE59 AG48:AG59 AI48:AI59">
    <cfRule type="cellIs" dxfId="215" priority="53" operator="lessThan">
      <formula>0</formula>
    </cfRule>
    <cfRule type="cellIs" dxfId="214" priority="54" operator="greaterThan">
      <formula>0</formula>
    </cfRule>
  </conditionalFormatting>
  <conditionalFormatting sqref="Z48:Z59 AB48:AB59 AD48:AD59 AF48:AF59 AH48:AH59">
    <cfRule type="cellIs" dxfId="213" priority="55" operator="lessThan">
      <formula>0</formula>
    </cfRule>
    <cfRule type="cellIs" dxfId="212" priority="56" operator="greaterThan">
      <formula>0</formula>
    </cfRule>
  </conditionalFormatting>
  <conditionalFormatting sqref="AL48:AL59 AN48:AN59 AP48:AP59 AR48:AR59 AT48:AT59">
    <cfRule type="cellIs" dxfId="211" priority="49" operator="lessThan">
      <formula>0</formula>
    </cfRule>
    <cfRule type="cellIs" dxfId="210" priority="50" operator="greaterThan">
      <formula>0</formula>
    </cfRule>
  </conditionalFormatting>
  <conditionalFormatting sqref="AK48:AK59 AM48:AM59 AO48:AO59 AQ48:AQ59 AS48:AS59">
    <cfRule type="cellIs" dxfId="209" priority="51" operator="lessThan">
      <formula>0</formula>
    </cfRule>
    <cfRule type="cellIs" dxfId="208" priority="52" operator="greaterThan">
      <formula>0</formula>
    </cfRule>
  </conditionalFormatting>
  <conditionalFormatting sqref="AA69:AA80 AC69:AC80">
    <cfRule type="cellIs" dxfId="207" priority="45" operator="lessThan">
      <formula>0</formula>
    </cfRule>
    <cfRule type="cellIs" dxfId="206" priority="46" operator="greaterThan">
      <formula>0</formula>
    </cfRule>
  </conditionalFormatting>
  <conditionalFormatting sqref="Z69:Z80 AB69:AB80">
    <cfRule type="cellIs" dxfId="205" priority="47" operator="lessThan">
      <formula>0</formula>
    </cfRule>
    <cfRule type="cellIs" dxfId="204" priority="48" operator="greaterThan">
      <formula>0</formula>
    </cfRule>
  </conditionalFormatting>
  <conditionalFormatting sqref="AL69:AL80 AN69:AN80 AP69:AP80 AR69:AR80 AT69:AT80">
    <cfRule type="cellIs" dxfId="203" priority="41" operator="lessThan">
      <formula>0</formula>
    </cfRule>
    <cfRule type="cellIs" dxfId="202" priority="42" operator="greaterThan">
      <formula>0</formula>
    </cfRule>
  </conditionalFormatting>
  <conditionalFormatting sqref="AK69:AK80 AM69:AM80 AO69:AO80 AQ69:AQ80 AS69:AS80">
    <cfRule type="cellIs" dxfId="201" priority="43" operator="lessThan">
      <formula>0</formula>
    </cfRule>
    <cfRule type="cellIs" dxfId="200" priority="44" operator="greaterThan">
      <formula>0</formula>
    </cfRule>
  </conditionalFormatting>
  <conditionalFormatting sqref="AA81:AA83 AC81:AC83">
    <cfRule type="cellIs" dxfId="199" priority="37" operator="lessThan">
      <formula>0</formula>
    </cfRule>
    <cfRule type="cellIs" dxfId="198" priority="38" operator="greaterThan">
      <formula>0</formula>
    </cfRule>
  </conditionalFormatting>
  <conditionalFormatting sqref="Z81:Z83 AB81:AB83">
    <cfRule type="cellIs" dxfId="197" priority="39" operator="lessThan">
      <formula>0</formula>
    </cfRule>
    <cfRule type="cellIs" dxfId="196" priority="40" operator="greaterThan">
      <formula>0</formula>
    </cfRule>
  </conditionalFormatting>
  <conditionalFormatting sqref="AL81:AL83 AN81:AN83 AP81:AP83 AR81:AR83 AT81:AT83">
    <cfRule type="cellIs" dxfId="195" priority="33" operator="lessThan">
      <formula>0</formula>
    </cfRule>
    <cfRule type="cellIs" dxfId="194" priority="34" operator="greaterThan">
      <formula>0</formula>
    </cfRule>
  </conditionalFormatting>
  <conditionalFormatting sqref="AK81:AK83 AM81:AM83 AO81:AO83 AQ81:AQ83 AS81:AS83">
    <cfRule type="cellIs" dxfId="193" priority="35" operator="lessThan">
      <formula>0</formula>
    </cfRule>
    <cfRule type="cellIs" dxfId="192" priority="36" operator="greaterThan">
      <formula>0</formula>
    </cfRule>
  </conditionalFormatting>
  <conditionalFormatting sqref="AA90:AA101 AC90:AC101">
    <cfRule type="cellIs" dxfId="191" priority="21" operator="lessThan">
      <formula>0</formula>
    </cfRule>
    <cfRule type="cellIs" dxfId="190" priority="22" operator="greaterThan">
      <formula>0</formula>
    </cfRule>
  </conditionalFormatting>
  <conditionalFormatting sqref="Z90:Z101 AB90:AB101">
    <cfRule type="cellIs" dxfId="189" priority="23" operator="lessThan">
      <formula>0</formula>
    </cfRule>
    <cfRule type="cellIs" dxfId="188" priority="24" operator="greaterThan">
      <formula>0</formula>
    </cfRule>
  </conditionalFormatting>
  <conditionalFormatting sqref="AA102:AA104 AC102:AC104">
    <cfRule type="cellIs" dxfId="187" priority="17" operator="lessThan">
      <formula>0</formula>
    </cfRule>
    <cfRule type="cellIs" dxfId="186" priority="18" operator="greaterThan">
      <formula>0</formula>
    </cfRule>
  </conditionalFormatting>
  <conditionalFormatting sqref="Z102:Z104 AB102:AB104">
    <cfRule type="cellIs" dxfId="185" priority="19" operator="lessThan">
      <formula>0</formula>
    </cfRule>
    <cfRule type="cellIs" dxfId="184" priority="20" operator="greaterThan">
      <formula>0</formula>
    </cfRule>
  </conditionalFormatting>
  <conditionalFormatting sqref="AE81:AE83 AG81:AG83 AI81:AI83">
    <cfRule type="cellIs" dxfId="183" priority="13" operator="lessThan">
      <formula>0</formula>
    </cfRule>
    <cfRule type="cellIs" dxfId="182" priority="14" operator="greaterThan">
      <formula>0</formula>
    </cfRule>
  </conditionalFormatting>
  <conditionalFormatting sqref="AD81:AD83 AF81:AF83 AH81:AH83">
    <cfRule type="cellIs" dxfId="181" priority="15" operator="lessThan">
      <formula>0</formula>
    </cfRule>
    <cfRule type="cellIs" dxfId="180" priority="16" operator="greaterThan">
      <formula>0</formula>
    </cfRule>
  </conditionalFormatting>
  <conditionalFormatting sqref="AE69:AE80 AG69:AG80 AI69:AI80">
    <cfRule type="cellIs" dxfId="179" priority="9" operator="lessThan">
      <formula>0</formula>
    </cfRule>
    <cfRule type="cellIs" dxfId="178" priority="10" operator="greaterThan">
      <formula>0</formula>
    </cfRule>
  </conditionalFormatting>
  <conditionalFormatting sqref="AD69:AD80 AF69:AF80 AH69:AH80">
    <cfRule type="cellIs" dxfId="177" priority="11" operator="lessThan">
      <formula>0</formula>
    </cfRule>
    <cfRule type="cellIs" dxfId="176" priority="12" operator="greaterThan">
      <formula>0</formula>
    </cfRule>
  </conditionalFormatting>
  <conditionalFormatting sqref="AE102:AE104 AG102:AG104 AI102:AI104">
    <cfRule type="cellIs" dxfId="175" priority="5" operator="lessThan">
      <formula>0</formula>
    </cfRule>
    <cfRule type="cellIs" dxfId="174" priority="6" operator="greaterThan">
      <formula>0</formula>
    </cfRule>
  </conditionalFormatting>
  <conditionalFormatting sqref="AD102:AD104 AF102:AF104 AH102:AH104">
    <cfRule type="cellIs" dxfId="173" priority="7" operator="lessThan">
      <formula>0</formula>
    </cfRule>
    <cfRule type="cellIs" dxfId="172" priority="8" operator="greaterThan">
      <formula>0</formula>
    </cfRule>
  </conditionalFormatting>
  <conditionalFormatting sqref="AE90:AE101 AG90:AG101 AI90:AI101">
    <cfRule type="cellIs" dxfId="171" priority="1" operator="lessThan">
      <formula>0</formula>
    </cfRule>
    <cfRule type="cellIs" dxfId="170" priority="2" operator="greaterThan">
      <formula>0</formula>
    </cfRule>
  </conditionalFormatting>
  <conditionalFormatting sqref="AD90:AD101 AF90:AF101 AH90:AH101">
    <cfRule type="cellIs" dxfId="169" priority="3" operator="lessThan">
      <formula>0</formula>
    </cfRule>
    <cfRule type="cellIs" dxfId="168" priority="4" operator="greaterThan">
      <formula>0</formula>
    </cfRule>
  </conditionalFormatting>
  <dataValidations count="1">
    <dataValidation type="list" allowBlank="1" showInputMessage="1" showErrorMessage="1" sqref="K43" xr:uid="{A1317BEB-0983-4DA8-A2DE-2C8EC925D9CF}">
      <formula1>$A$72:$A$76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E1E72F-D5C1-4856-A81D-116CC9581AF1}">
          <x14:formula1>
            <xm:f>Dataset!$C$3:$C$17</xm:f>
          </x14:formula1>
          <xm:sqref>B43:G43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37</vt:i4>
      </vt:variant>
    </vt:vector>
  </HeadingPairs>
  <TitlesOfParts>
    <vt:vector size="41" baseType="lpstr">
      <vt:lpstr>Dataset</vt:lpstr>
      <vt:lpstr>Config</vt:lpstr>
      <vt:lpstr>Geometry</vt:lpstr>
      <vt:lpstr>GeometryColor</vt:lpstr>
      <vt:lpstr>Geometry!Arco_Valentino_Dense_vox12</vt:lpstr>
      <vt:lpstr>GeometryColor!Arco_Valentino_Dense_vox12</vt:lpstr>
      <vt:lpstr>Geometry!AvgDense</vt:lpstr>
      <vt:lpstr>GeometryColor!AvgDense</vt:lpstr>
      <vt:lpstr>Geometry!AvgSolid</vt:lpstr>
      <vt:lpstr>GeometryColor!AvgSolid</vt:lpstr>
      <vt:lpstr>Geometry!AvgSparse</vt:lpstr>
      <vt:lpstr>GeometryColor!AvgSparse</vt:lpstr>
      <vt:lpstr>Geometry!Bouquet</vt:lpstr>
      <vt:lpstr>GeometryColor!Bouquet</vt:lpstr>
      <vt:lpstr>Geometry!boxer_viewdep_vox12</vt:lpstr>
      <vt:lpstr>GeometryColor!boxer_viewdep_vox12</vt:lpstr>
      <vt:lpstr>Geometry!CITIUSP_vox13</vt:lpstr>
      <vt:lpstr>GeometryColor!CITIUSP_vox13</vt:lpstr>
      <vt:lpstr>Geometry!EPFL_vox13</vt:lpstr>
      <vt:lpstr>GeometryColor!EPFL_vox13</vt:lpstr>
      <vt:lpstr>Geometry!Facade_00009_vox12</vt:lpstr>
      <vt:lpstr>GeometryColor!Facade_00009_vox12</vt:lpstr>
      <vt:lpstr>Geometry!House_without_roof_00057_vox12</vt:lpstr>
      <vt:lpstr>GeometryColor!House_without_roof_00057_vox12</vt:lpstr>
      <vt:lpstr>GeometryColor!PCQM</vt:lpstr>
      <vt:lpstr>Geometry!PSNR_D1</vt:lpstr>
      <vt:lpstr>GeometryColor!PSNR_D1</vt:lpstr>
      <vt:lpstr>Geometry!PSNR_D2</vt:lpstr>
      <vt:lpstr>GeometryColor!PSNR_D2</vt:lpstr>
      <vt:lpstr>GeometryColor!PSNR_Y</vt:lpstr>
      <vt:lpstr>GeometryColor!PSNR_YUV</vt:lpstr>
      <vt:lpstr>Geometry!Shiva_00035_vox12</vt:lpstr>
      <vt:lpstr>GeometryColor!Shiva_00035_vox12</vt:lpstr>
      <vt:lpstr>Geometry!soldier_vox10_0690</vt:lpstr>
      <vt:lpstr>GeometryColor!soldier_vox10_0690</vt:lpstr>
      <vt:lpstr>Geometry!StMichael</vt:lpstr>
      <vt:lpstr>GeometryColor!StMichael</vt:lpstr>
      <vt:lpstr>Geometry!Thaidancer_viewdep_vox12</vt:lpstr>
      <vt:lpstr>GeometryColor!Thaidancer_viewdep_vox12</vt:lpstr>
      <vt:lpstr>Geometry!ULB_Unicorn_vox13_n</vt:lpstr>
      <vt:lpstr>GeometryColor!ULB_Unicorn_vox13_n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Guarda</dc:creator>
  <dcterms:created xsi:type="dcterms:W3CDTF">2022-01-31T13:08:22Z</dcterms:created>
  <dcterms:modified xsi:type="dcterms:W3CDTF">2024-09-19T15:38:46Z</dcterms:modified>
</cp:coreProperties>
</file>